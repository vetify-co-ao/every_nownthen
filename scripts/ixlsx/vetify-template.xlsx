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920574EA-5455-894F-AB2D-DE2D45D3314E}" xr6:coauthVersionLast="47" xr6:coauthVersionMax="47" xr10:uidLastSave="{00000000-0000-0000-0000-000000000000}"/>
  <workbookProtection lockStructure="1"/>
  <bookViews>
    <workbookView xWindow="0" yWindow="760" windowWidth="34560" windowHeight="21580" xr2:uid="{00000000-000D-0000-FFFF-FFFF00000000}"/>
  </bookViews>
  <sheets>
    <sheet name="Sheet1" sheetId="1" r:id="rId1"/>
    <sheet name="Marcas" sheetId="3" state="hidden" r:id="rId2"/>
    <sheet name="Dados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8" i="1" l="1"/>
  <c r="H118" i="1"/>
  <c r="H68" i="1"/>
  <c r="F68" i="1"/>
  <c r="F39" i="1"/>
  <c r="H39" i="1"/>
  <c r="H22" i="1"/>
  <c r="F22" i="1"/>
  <c r="H148" i="1"/>
  <c r="F148" i="1"/>
  <c r="H181" i="1"/>
  <c r="F181" i="1"/>
  <c r="F14" i="1"/>
  <c r="F13" i="1"/>
  <c r="H14" i="1"/>
  <c r="H13" i="1"/>
  <c r="F61" i="1"/>
  <c r="F64" i="1"/>
  <c r="F62" i="1"/>
  <c r="F63" i="1"/>
  <c r="H61" i="1"/>
  <c r="H64" i="1"/>
  <c r="H62" i="1"/>
  <c r="H63" i="1"/>
  <c r="F79" i="1"/>
  <c r="H79" i="1"/>
  <c r="F120" i="1"/>
  <c r="H120" i="1"/>
  <c r="F121" i="1"/>
  <c r="H121" i="1"/>
  <c r="F171" i="1"/>
  <c r="F153" i="1"/>
  <c r="F152" i="1"/>
  <c r="F167" i="1"/>
  <c r="F168" i="1"/>
  <c r="F169" i="1"/>
  <c r="H169" i="1"/>
  <c r="H168" i="1"/>
  <c r="H167" i="1"/>
  <c r="H152" i="1"/>
  <c r="H153" i="1"/>
  <c r="H171" i="1"/>
  <c r="H179" i="1"/>
  <c r="F179" i="1"/>
  <c r="H125" i="1"/>
  <c r="F125" i="1"/>
  <c r="F55" i="1"/>
  <c r="H55" i="1"/>
  <c r="H183" i="1"/>
  <c r="H182" i="1"/>
  <c r="H180" i="1"/>
  <c r="H178" i="1"/>
  <c r="H177" i="1"/>
  <c r="H175" i="1"/>
  <c r="H176" i="1"/>
  <c r="H174" i="1"/>
  <c r="H173" i="1"/>
  <c r="H172" i="1"/>
  <c r="H170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1" i="1"/>
  <c r="H150" i="1"/>
  <c r="H149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4" i="1"/>
  <c r="H91" i="1"/>
  <c r="H90" i="1"/>
  <c r="H123" i="1"/>
  <c r="H122" i="1"/>
  <c r="H119" i="1"/>
  <c r="H117" i="1"/>
  <c r="H116" i="1"/>
  <c r="H115" i="1"/>
  <c r="H114" i="1"/>
  <c r="H113" i="1"/>
  <c r="H111" i="1"/>
  <c r="H112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89" i="1"/>
  <c r="H88" i="1"/>
  <c r="H86" i="1"/>
  <c r="H87" i="1"/>
  <c r="H85" i="1"/>
  <c r="H84" i="1"/>
  <c r="H83" i="1"/>
  <c r="H82" i="1"/>
  <c r="H81" i="1"/>
  <c r="H80" i="1"/>
  <c r="H78" i="1"/>
  <c r="H77" i="1"/>
  <c r="H76" i="1"/>
  <c r="H75" i="1"/>
  <c r="H74" i="1"/>
  <c r="H73" i="1"/>
  <c r="H72" i="1"/>
  <c r="H71" i="1"/>
  <c r="H70" i="1"/>
  <c r="H69" i="1"/>
  <c r="H67" i="1"/>
  <c r="H66" i="1"/>
  <c r="H65" i="1"/>
  <c r="H60" i="1"/>
  <c r="H59" i="1"/>
  <c r="H58" i="1"/>
  <c r="H57" i="1"/>
  <c r="H56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1" i="1"/>
  <c r="H20" i="1"/>
  <c r="H19" i="1"/>
  <c r="H18" i="1"/>
  <c r="H17" i="1"/>
  <c r="H16" i="1"/>
  <c r="H15" i="1"/>
  <c r="H12" i="1"/>
  <c r="H11" i="1"/>
  <c r="H10" i="1"/>
  <c r="H9" i="1"/>
  <c r="H8" i="1"/>
  <c r="H7" i="1"/>
  <c r="H6" i="1"/>
  <c r="F23" i="1"/>
  <c r="F91" i="1"/>
  <c r="F90" i="1"/>
  <c r="F123" i="1"/>
  <c r="F122" i="1"/>
  <c r="F119" i="1"/>
  <c r="F112" i="1"/>
  <c r="F87" i="1"/>
  <c r="F88" i="1"/>
  <c r="F70" i="1"/>
  <c r="F71" i="1"/>
  <c r="F183" i="1"/>
  <c r="F57" i="1"/>
  <c r="F172" i="1"/>
  <c r="F154" i="1"/>
  <c r="F182" i="1"/>
  <c r="F180" i="1"/>
  <c r="F175" i="1"/>
  <c r="F178" i="1"/>
  <c r="F177" i="1"/>
  <c r="F176" i="1"/>
  <c r="F174" i="1"/>
  <c r="F173" i="1"/>
  <c r="F170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1" i="1"/>
  <c r="F150" i="1"/>
  <c r="F149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4" i="1"/>
  <c r="F117" i="1"/>
  <c r="F116" i="1"/>
  <c r="F115" i="1"/>
  <c r="F114" i="1"/>
  <c r="F113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89" i="1"/>
  <c r="F86" i="1"/>
  <c r="F85" i="1"/>
  <c r="F84" i="1"/>
  <c r="F83" i="1"/>
  <c r="F82" i="1"/>
  <c r="F81" i="1"/>
  <c r="F80" i="1"/>
  <c r="F78" i="1"/>
  <c r="F77" i="1"/>
  <c r="F76" i="1"/>
  <c r="F75" i="1"/>
  <c r="F74" i="1"/>
  <c r="F73" i="1"/>
  <c r="F72" i="1"/>
  <c r="F69" i="1"/>
  <c r="F67" i="1"/>
  <c r="F66" i="1"/>
  <c r="F65" i="1"/>
  <c r="F60" i="1"/>
  <c r="F59" i="1"/>
  <c r="F58" i="1"/>
  <c r="F56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1" i="1"/>
  <c r="F20" i="1"/>
  <c r="F19" i="1"/>
  <c r="F18" i="1"/>
  <c r="F17" i="1"/>
  <c r="F16" i="1"/>
  <c r="F15" i="1"/>
  <c r="F12" i="1"/>
  <c r="F11" i="1"/>
  <c r="F10" i="1"/>
  <c r="F9" i="1"/>
  <c r="F8" i="1"/>
  <c r="F7" i="1"/>
  <c r="F6" i="1"/>
  <c r="H3" i="1" l="1"/>
</calcChain>
</file>

<file path=xl/sharedStrings.xml><?xml version="1.0" encoding="utf-8"?>
<sst xmlns="http://schemas.openxmlformats.org/spreadsheetml/2006/main" count="1079" uniqueCount="439">
  <si>
    <t>TOTAL ENCOMENDA</t>
  </si>
  <si>
    <t>Para encomendas, preencha esta folha de cálculos  e envie para: encomendas@vetify.co.ao</t>
  </si>
  <si>
    <t>CÓDIGO</t>
  </si>
  <si>
    <t xml:space="preserve">DESCRIÇÃO </t>
  </si>
  <si>
    <t>DISPONIBILIDADE</t>
  </si>
  <si>
    <t>PVP /S IVA</t>
  </si>
  <si>
    <t>IVA</t>
  </si>
  <si>
    <t>PVP C/IVA</t>
  </si>
  <si>
    <t>QTD A ENC.</t>
  </si>
  <si>
    <t>VALOR TOTAL</t>
  </si>
  <si>
    <t>VALIDADE</t>
  </si>
  <si>
    <t xml:space="preserve">FAMILIA </t>
  </si>
  <si>
    <t>SUB-FAMILIA</t>
  </si>
  <si>
    <t>MARCA / LABORATÓRIO</t>
  </si>
  <si>
    <t>ULTIMAS UNIDADES</t>
  </si>
  <si>
    <t>ANTIBIÓTICO</t>
  </si>
  <si>
    <t xml:space="preserve">Zoetis </t>
  </si>
  <si>
    <t>Virbac</t>
  </si>
  <si>
    <t>ESGOTADO</t>
  </si>
  <si>
    <t>ANESTÉSICOS</t>
  </si>
  <si>
    <t>ZO-AP-160-20</t>
  </si>
  <si>
    <t>APOQUEL 16MG 20CP * OCLACITINIB</t>
  </si>
  <si>
    <t>ZO-AP-036-20</t>
  </si>
  <si>
    <t>APOQUEL 3.6MG 20CP * OCLACITINIB</t>
  </si>
  <si>
    <t>ZO-AP-054-20</t>
  </si>
  <si>
    <t>APOQUEL 5.4MG 20CP * OCLACITINIB</t>
  </si>
  <si>
    <t>Vetoquinol</t>
  </si>
  <si>
    <t>ZO-CP-000-1C</t>
  </si>
  <si>
    <t>ENDOPARASITICIDAS</t>
  </si>
  <si>
    <t>ZO-CP-XL0-50</t>
  </si>
  <si>
    <t>CAZITEL PLUS 104CP * PRAZIQUANTEL + PIRANTEL + FEBANTEL</t>
  </si>
  <si>
    <t>ZO-CE-INJ-20</t>
  </si>
  <si>
    <t>CERENIA INJ 20ML * MAROPITANT</t>
  </si>
  <si>
    <t>EM STOCK</t>
  </si>
  <si>
    <t>EC-CO-000-20</t>
  </si>
  <si>
    <t>CONOFITE SUSPENSAO TOPICA 20ML * MICOZANOL + PREDNISOLONA + POLIMIXINA</t>
  </si>
  <si>
    <t>VACINAS</t>
  </si>
  <si>
    <t>CYTOPOINT 10MG 2X1ML * LOKIVETMAB</t>
  </si>
  <si>
    <t>CYTOPOINT 20MG 2X1ML * LOKIVETMAB</t>
  </si>
  <si>
    <t>CYTOPOINT 30MG 2X1ML * LOKIVETMAB</t>
  </si>
  <si>
    <t>CYTOPOINT 40MG 2X1ML * LOKIVETMAB</t>
  </si>
  <si>
    <t>DEXDOMITOR 0.5MG/ML 10ML * DEXMEDETOMIDINA</t>
  </si>
  <si>
    <t>DUPHALYTE INJ 500ML</t>
  </si>
  <si>
    <t>SUPLEMENTOS NUTRICIONAIS</t>
  </si>
  <si>
    <t>VITAMINAS</t>
  </si>
  <si>
    <t>ZO-EL-134-03</t>
  </si>
  <si>
    <t>ELIMINALL 134MG 10-20KG 3PIP * FIPRONIL</t>
  </si>
  <si>
    <t>ZO-EL-268-03</t>
  </si>
  <si>
    <t>ELIMINALL 268MG 20-40KG 3PIP * FINOPRIL</t>
  </si>
  <si>
    <t>ZO-EL-402-03</t>
  </si>
  <si>
    <t>ELIMINALL 402MG &gt;40KG 3PIP * FIPRONIL</t>
  </si>
  <si>
    <t>ZO-EL-067-03</t>
  </si>
  <si>
    <t>ELIMINALL 67MG &lt;10KG 3PIP * FIPRONIL</t>
  </si>
  <si>
    <t>ZO-EL-SPR-1C</t>
  </si>
  <si>
    <t>ELIMINALL SPRAY 100ML * FIPRONIL</t>
  </si>
  <si>
    <t>ECTOPARASITICIDAS</t>
  </si>
  <si>
    <t>AN-EN-010-1C</t>
  </si>
  <si>
    <t>ENROTRON 10% 100ML * ENROFLOXACINA</t>
  </si>
  <si>
    <t>AN-EN-005-1C</t>
  </si>
  <si>
    <t>ENROTRON 5% 100ML* ENROFLOXACINA</t>
  </si>
  <si>
    <t>ENROXAL SABOR 50MG 100CP * ENROFLOXACINA</t>
  </si>
  <si>
    <t>Ceva</t>
  </si>
  <si>
    <t>MSD</t>
  </si>
  <si>
    <t>ZO-IS-100-2C</t>
  </si>
  <si>
    <t>ISOFLO 250ML * ISOFLURANO</t>
  </si>
  <si>
    <t>INALATÓRIOS</t>
  </si>
  <si>
    <t>CE-ME-05O-15</t>
  </si>
  <si>
    <t>MELOXIDYL 0.5MG/ML 15ML S.ORAL GATO * MELOXICAN</t>
  </si>
  <si>
    <t>CE-ME-15O-1C</t>
  </si>
  <si>
    <t>MELOXIDYL 1.5MG/ML 100ML S.ORAL CAES * MELOXICAN</t>
  </si>
  <si>
    <t>CE-ME-20I-1C</t>
  </si>
  <si>
    <t>MELOXIDYL 20MG/ML 100ML INJ.GA * MELOXICAN</t>
  </si>
  <si>
    <t>CE-ME-05I-10</t>
  </si>
  <si>
    <t>MELOXIDYL 5MG/ML 10ML INJ.PA * MELOXICAN</t>
  </si>
  <si>
    <t>MS-NO-TRI-10</t>
  </si>
  <si>
    <t>NOBIVAC TRICAT TRIO 10X1DS</t>
  </si>
  <si>
    <t>HI-OM-005-20</t>
  </si>
  <si>
    <t>OMNIOTIC LIMPEZA AURICULAR 20X5ML</t>
  </si>
  <si>
    <t>DERMATOLOGIA</t>
  </si>
  <si>
    <t>Hifarmax</t>
  </si>
  <si>
    <t>HI-OM-120-01</t>
  </si>
  <si>
    <t>OMNIOTIC LIMPEZA AURICULAR 120ML</t>
  </si>
  <si>
    <t>VE-OR-000-30</t>
  </si>
  <si>
    <t>ORIDERMYL PDA OTO 30G * PERMETRINA + NEOCIMINA + TRIANCINOLONA</t>
  </si>
  <si>
    <t>BO-PR-227-30</t>
  </si>
  <si>
    <t>PREVICOX 227MG 30CP * FIROCOXIB</t>
  </si>
  <si>
    <t>AINES</t>
  </si>
  <si>
    <t>Boehringer Ingelheim</t>
  </si>
  <si>
    <t>BO-PR-057-30</t>
  </si>
  <si>
    <t>PREVICOX 57MG 30CP * FIROCOXIB</t>
  </si>
  <si>
    <t>OR-PR-020-05</t>
  </si>
  <si>
    <t>PROPOMITOR 10MG/ML 5X20ML * PROPOFOL</t>
  </si>
  <si>
    <t>PU-DC-ABO-14</t>
  </si>
  <si>
    <t>PURINA DOG CHOW ADULT COM BORREGO 14KG</t>
  </si>
  <si>
    <t>ALIMENTAÇÃO</t>
  </si>
  <si>
    <t>SECA</t>
  </si>
  <si>
    <t>Purina</t>
  </si>
  <si>
    <t>PU-DC-ABO-2H</t>
  </si>
  <si>
    <t>PURINA DOG CHOW ADULT COM BORREGO 2.5KG</t>
  </si>
  <si>
    <t>PU-DC-AFR-14</t>
  </si>
  <si>
    <t>PURINA DOG CHOW ADULT COM FRANGO 14KG</t>
  </si>
  <si>
    <t>PU-DC-ALP-14</t>
  </si>
  <si>
    <t>PURINA DOG CHOW ADULT LARGE BREED COM PERU 14KG</t>
  </si>
  <si>
    <t>PU-DC-PFR-14</t>
  </si>
  <si>
    <t>PURINA DOG CHOW PUPPY COM FRANGO 14KG</t>
  </si>
  <si>
    <t>PU-DC-PFR-2H</t>
  </si>
  <si>
    <t>PURINA DOG CHOW PUPPY COM FRANGO 2.5KG</t>
  </si>
  <si>
    <t>PU-DC-PLP-14</t>
  </si>
  <si>
    <t>PURINA DOG CHOW PUPPY LARGE BREED COM PERU 14KG</t>
  </si>
  <si>
    <t>CH-RH-O1H-15</t>
  </si>
  <si>
    <t>RHEUMOCAM 1.5MG 15ML * MELOXICAN</t>
  </si>
  <si>
    <t>Dechra</t>
  </si>
  <si>
    <t>CH-RH-001-1C</t>
  </si>
  <si>
    <t>RHEUMOCAM 1MG 100CP * MELOXICAN</t>
  </si>
  <si>
    <t>CH-RH-02H-1C</t>
  </si>
  <si>
    <t>RHEUMOCAM 2.5MG 100CP * MELOXICAN</t>
  </si>
  <si>
    <t>RC-CH-BDM-4K</t>
  </si>
  <si>
    <t>ROYAL CANIN BABY DOG MILK 400G</t>
  </si>
  <si>
    <t>Royal Canin</t>
  </si>
  <si>
    <t>RC-BH-FBA-09</t>
  </si>
  <si>
    <t>ROYAL CANIN BHN FR BULLDOG AD 9KG</t>
  </si>
  <si>
    <t>RC-BH-FBP-03</t>
  </si>
  <si>
    <t>ROYAL CANIN BHN FRENCH BULLDOG PUPPY 3KG</t>
  </si>
  <si>
    <t>RC-BH-PMA-1H</t>
  </si>
  <si>
    <t>ROYAL CANIN BHN POMERANIAN ADULT 1.5KG</t>
  </si>
  <si>
    <t>RC-BH-STA-1H</t>
  </si>
  <si>
    <t>ROYAL CANIN BHN SHIH TZU ADULT 1.5KG</t>
  </si>
  <si>
    <t>RC-BH-STP-1H</t>
  </si>
  <si>
    <t>ROYAL CANIN BHN SHIH TZU PUPPY 1.5KG</t>
  </si>
  <si>
    <t>RC-BH-YRA-1H</t>
  </si>
  <si>
    <t>ROYAL CANIN BHN YORKSHIRE ADULT 1.5KG</t>
  </si>
  <si>
    <t>RC-BH-YRP-1H</t>
  </si>
  <si>
    <t>ROYAL CANIN BHN YORKSHIRE PUPPY 1.5KG</t>
  </si>
  <si>
    <t>RC-FC-ACS-02</t>
  </si>
  <si>
    <t>ROYAL CANIN FCN APPETITE CONTROL STERILISED 2KG</t>
  </si>
  <si>
    <t>RC-FC-HRC-02</t>
  </si>
  <si>
    <t>ROYAL CANIN FCN HAIRBALL CARE 2KG</t>
  </si>
  <si>
    <t>RC-FC-URC-02</t>
  </si>
  <si>
    <t>ROYAL CANIN FCN URINARY CARE 2KG</t>
  </si>
  <si>
    <t>RC-FH-FIT-02</t>
  </si>
  <si>
    <t>ROYAL CANIN FHN FIT 32 2KG</t>
  </si>
  <si>
    <t>RC-FH-IND-02</t>
  </si>
  <si>
    <t>RC-FH-KIT-02</t>
  </si>
  <si>
    <t>ROYAL CANIN FHN KITTEN 2KG</t>
  </si>
  <si>
    <t>RC-FH-KIT-GR</t>
  </si>
  <si>
    <t>ROYAL CANIN FHN KITTEN PEDAÇOS EM MOLHO 12X85G</t>
  </si>
  <si>
    <t>RC-FH-SEN-02</t>
  </si>
  <si>
    <t>ROYAL CANIN FHN SENSIBLE 2KG</t>
  </si>
  <si>
    <t>RC-FH-SEF-GR</t>
  </si>
  <si>
    <t>ROYAL CANIN SENSORY FEEL PEDAÇOS EM MOLHO 12X85G</t>
  </si>
  <si>
    <t>RC-FH-SES-GR</t>
  </si>
  <si>
    <t>ROYAL CANIN SENSORY SMELL PEDAÇOS EM MOLHO 12X85G</t>
  </si>
  <si>
    <t>RC-FH-SET-GR</t>
  </si>
  <si>
    <t>ROYAL CANIN SENSORY TASTE PEDAÇOS EM MOLHO 12X85G</t>
  </si>
  <si>
    <t>RC-SH-XLA-15</t>
  </si>
  <si>
    <t>ROYAL CANIN SHN GIANT ADULT 15KG</t>
  </si>
  <si>
    <t>RC-SH-XLJ-15</t>
  </si>
  <si>
    <t>ROYAL CANIN SHN GIANT JUNIOR 15KG</t>
  </si>
  <si>
    <t>RC-SH-XLP-15</t>
  </si>
  <si>
    <t>ROYAL CANIN SHN GIANT PUPPY 15KG</t>
  </si>
  <si>
    <t>RC-SH-LGA-15</t>
  </si>
  <si>
    <t>ROYAL CANIN SHN MAXI ADULT 15KG</t>
  </si>
  <si>
    <t>RC-SH-LGA-GR</t>
  </si>
  <si>
    <t>ROYAL CANIN SHN MAXI ADULT PEDAÇOS EM MOLHO 10X140G</t>
  </si>
  <si>
    <t>RC-SH-LGP-10</t>
  </si>
  <si>
    <t>ROYAL CANIN SHN MAXI PUPPY 10KG</t>
  </si>
  <si>
    <t>RC-SH-LGP-GR</t>
  </si>
  <si>
    <t>ROYAL CANIN SHN MAXI PUPPY PEDAÇOS EM MOLHO 10X140G</t>
  </si>
  <si>
    <t>RC-SH-LGS-04</t>
  </si>
  <si>
    <t>ROYAL CANIN SHN MAXI STARTER M&amp;B 4KG</t>
  </si>
  <si>
    <t>RC-SH-MDA-10</t>
  </si>
  <si>
    <t>ROYAL CANIN SHN MEDIUM ADULT 10KG</t>
  </si>
  <si>
    <t>RC-SH-MDA-04</t>
  </si>
  <si>
    <t>ROYAL CANIN SHN MEDIUM ADULT 4KG</t>
  </si>
  <si>
    <t>RC-SH-MDA-GR</t>
  </si>
  <si>
    <t>ROYAL CANIN SHN MEDIUM ADULT PEDAÇOS EM MOLHO 10X140G</t>
  </si>
  <si>
    <t>RC-SH-MDP-10</t>
  </si>
  <si>
    <t>ROYAL CANIN SHN MEDIUM PUPPY 10KG</t>
  </si>
  <si>
    <t>RC-SH-MDP-04</t>
  </si>
  <si>
    <t>ROYAL CANIN SHN MEDIUM PUPPY 4KG</t>
  </si>
  <si>
    <t>RC-SH-MDP-GR</t>
  </si>
  <si>
    <t>ROYAL CANIN SHN MEDIUM PUPPY PEDAÇOS EM MOLHO 10X140G</t>
  </si>
  <si>
    <t>RC-SH-SMA-04</t>
  </si>
  <si>
    <t>ROYAL CANIN SHN MINI ADULT 4KG</t>
  </si>
  <si>
    <t>RC-SH-SMA-GR</t>
  </si>
  <si>
    <t>ROYAL CANIN SHN MINI ADULT PEDAÇOS EM MOLHO 12X85G</t>
  </si>
  <si>
    <t>RC-SH-SMP-02</t>
  </si>
  <si>
    <t>ROYAL CANIN SHN MINI PUPPY 2KG</t>
  </si>
  <si>
    <t>RC-SH-SMP-GR</t>
  </si>
  <si>
    <t>ROYAL CANIN SHN MINI PUPPY PEDAÇOS EM MOLHO 12X85G</t>
  </si>
  <si>
    <t>RC-SH-SMS-01</t>
  </si>
  <si>
    <t>ROYAL CANIN SHN MINI STARTER M&amp;B 1KG</t>
  </si>
  <si>
    <t>RC-SH-XSA-1H</t>
  </si>
  <si>
    <t>ROYAL CANIN SHN XSMALL ADULT 1.5KG</t>
  </si>
  <si>
    <t>RC-SH-XSP-1H</t>
  </si>
  <si>
    <t>ROYAL CANIN SHN XSMALL PUPPY 1.5KG</t>
  </si>
  <si>
    <t>RC-VH-GAS-02</t>
  </si>
  <si>
    <t>RC-VH-SAC-06</t>
  </si>
  <si>
    <t>ZO-SI-010-03</t>
  </si>
  <si>
    <t>SIMPARICA 10MG (2.4-5KG) 3CP * SAROLANER</t>
  </si>
  <si>
    <t>ZO-SI-120-03</t>
  </si>
  <si>
    <t>SIMPARICA 120MG (40-60KG) 3CP * SAROLANER</t>
  </si>
  <si>
    <t>ZO-SI-020-03</t>
  </si>
  <si>
    <t>SIMPARICA 20MG (5-10KG) 3CP * SAROLANER</t>
  </si>
  <si>
    <t>ZO-SI-040-03</t>
  </si>
  <si>
    <t>SIMPARICA 40MG (10-20KG) 3CP * SAROLANER</t>
  </si>
  <si>
    <t>ZO-SI-005-03</t>
  </si>
  <si>
    <t>SIMPARICA 5MG (1.3-2.5KG) 3CP * SAROLANER</t>
  </si>
  <si>
    <t>ZO-SI-080-03</t>
  </si>
  <si>
    <t>SIMPARICA 80MG (20-40KG) 3CP * SAROLANER</t>
  </si>
  <si>
    <t>ZO-ST-XXS-03</t>
  </si>
  <si>
    <t>SIMPARICA TRIO 1.25-2.5KG 3CP * SAROLANER + MOXIDECTINA + PIRANTEL</t>
  </si>
  <si>
    <t>ZO-ST-MD0-03</t>
  </si>
  <si>
    <t>SIMPARICA TRIO 10.1-20KG 3CP * SAROLANER + MOXIDECTINA + PIRANTEL</t>
  </si>
  <si>
    <t>ZO-ST-XS0-03</t>
  </si>
  <si>
    <t>SIMPARICA TRIO 2.6-5KG 3CP * SAROLANER + MOXIDECTINA + PIRANTEL</t>
  </si>
  <si>
    <t>ZO-ST-LG0-03</t>
  </si>
  <si>
    <t>SIMPARICA TRIO 20.1-40KG 3CP * SAROLANER + MOXIDECTINA + PIRANTEL</t>
  </si>
  <si>
    <t>ZO-ST-XL0-03</t>
  </si>
  <si>
    <t>SIMPARICA TRIO 40.1-60KG 3CP * SAROLANER + MOXIDECTINA + PIRANTEL</t>
  </si>
  <si>
    <t>ZO-ST-SM0-03</t>
  </si>
  <si>
    <t>SIMPARICA TRIO 5.1-10KG 3CP * SAROLANER + MOXIDECTINA + PIRANTEL</t>
  </si>
  <si>
    <t>ZO-SP-025-03</t>
  </si>
  <si>
    <t>STRONGHOLD PLUS GATOS &lt;2.5KG 3PIP * SELAMECTINA + SAROLANER</t>
  </si>
  <si>
    <t>ZO-SP-254-03</t>
  </si>
  <si>
    <t>STRONGHOLD PLUS GATOS 2.5-5KG 3PIP * SELAMECTINA + SAROLANER</t>
  </si>
  <si>
    <t>ZO-SY-RTU-1C</t>
  </si>
  <si>
    <t>SYNULOX RTU INJ 100ML * AMOXICILINA + ACIDO CLAVULANICO</t>
  </si>
  <si>
    <t>ZO-VA-CPV-25</t>
  </si>
  <si>
    <t>VANGUARD CPV 1X25DS</t>
  </si>
  <si>
    <t>ZO-VP-BBO-10</t>
  </si>
  <si>
    <t>VERSICAN PLUS BB ORAL 1X10DS</t>
  </si>
  <si>
    <t>ZO-VP-DL4-25</t>
  </si>
  <si>
    <t>VERSICAN PLUS DHPPI+L4 1X25DS</t>
  </si>
  <si>
    <t>ZO-VP-L4R-25</t>
  </si>
  <si>
    <t>VERSICAN PLUS DHPPI+L4R 1X25DS</t>
  </si>
  <si>
    <t>ZO-VE-CVR-10</t>
  </si>
  <si>
    <t>VERSIFEL CVR 1X10DS</t>
  </si>
  <si>
    <t>ZO-VE-RAI-10</t>
  </si>
  <si>
    <t>VERSIGUARD RAIVA 10X1DS</t>
  </si>
  <si>
    <t>WE-BI-000-30</t>
  </si>
  <si>
    <t>WEBIOTIC 30CP</t>
  </si>
  <si>
    <t>NUTRACEUTICOS</t>
  </si>
  <si>
    <t>SUPLEMENTOS</t>
  </si>
  <si>
    <t>WE-BF-SXS-15</t>
  </si>
  <si>
    <t>WEBIOTIC FAST 15ML (RAÇAS PEQUENAS/GATOS)</t>
  </si>
  <si>
    <t>WE-BF-ML0-30</t>
  </si>
  <si>
    <t>WEBIOTIC FAST 30ML (RACAS MEDIAS E GRANDES)</t>
  </si>
  <si>
    <t>WE-CO-000-30</t>
  </si>
  <si>
    <t>WECONFORT 30CP</t>
  </si>
  <si>
    <t>WE-CP-000-30</t>
  </si>
  <si>
    <t>WECYSTO PLUS 30 CP</t>
  </si>
  <si>
    <t>WE-CP-000-50</t>
  </si>
  <si>
    <t>WECYSTO PLUS 50ML</t>
  </si>
  <si>
    <t>WE-DE-000-1C</t>
  </si>
  <si>
    <t>WEDENTAL 100ML</t>
  </si>
  <si>
    <t>WE-DE-000-30</t>
  </si>
  <si>
    <t>WEDERM 30ML</t>
  </si>
  <si>
    <t>WE-DE-000-60</t>
  </si>
  <si>
    <t>WEDERM 60CP</t>
  </si>
  <si>
    <t>WE-FI-000-2C</t>
  </si>
  <si>
    <t>WEFIBER 225GR</t>
  </si>
  <si>
    <t>WE-GA-000-60</t>
  </si>
  <si>
    <t>WEGASTRO 60ML</t>
  </si>
  <si>
    <t>WE-HE-000-50</t>
  </si>
  <si>
    <t>WEHEMO 30ML</t>
  </si>
  <si>
    <t>WE-JP-L00-30</t>
  </si>
  <si>
    <t>WEJOINT PLUS RACAS GRANDES 30CP</t>
  </si>
  <si>
    <t>WE-JP-M00-30</t>
  </si>
  <si>
    <t>WEJOINT PLUS RACAS MEDIAS 30CP</t>
  </si>
  <si>
    <t>WE-JP-SXS-30</t>
  </si>
  <si>
    <t>WEJOINT PLUS RACAS PEQUENAS E GATOS 30CP</t>
  </si>
  <si>
    <t>WE-MA-000-50</t>
  </si>
  <si>
    <t>WEMALT 50GR</t>
  </si>
  <si>
    <t>WE-PA-ML0-30</t>
  </si>
  <si>
    <t>WEPATIC RACAS MEDIAS E GRANDES 30CP</t>
  </si>
  <si>
    <t>WE-PA-SXS-30</t>
  </si>
  <si>
    <t>WEPATIC RACAS PEQUENAS E GATOS 30CP</t>
  </si>
  <si>
    <t>WE-SK-FIS-2C</t>
  </si>
  <si>
    <t>WESKIN CHAMPO FISIOLOGICO 200ML</t>
  </si>
  <si>
    <t>WE-SK-PIM-2C</t>
  </si>
  <si>
    <t>WESKIN CHAMPO PIOM 200ML</t>
  </si>
  <si>
    <t>WE-SK-CRC-30</t>
  </si>
  <si>
    <t>WESKIN CREME REPARADOR CICATRIZANTE 30GR</t>
  </si>
  <si>
    <t>WE-SK-SPR-1C</t>
  </si>
  <si>
    <t>WESKIN SPRAY 100ML</t>
  </si>
  <si>
    <t>XEDEN 200MG 120CP * ENROFLOXACINA</t>
  </si>
  <si>
    <t>XEDEN 50MG 100CP * ENROFLOXACINA</t>
  </si>
  <si>
    <t>DISPONIBILDADE</t>
  </si>
  <si>
    <t>EM TRÂNSITO</t>
  </si>
  <si>
    <t>MENOS DE 10 UNIDADES</t>
  </si>
  <si>
    <t>ZO-LI-010-02</t>
  </si>
  <si>
    <t>LIBRELA 10MG (10-20KG) 1X2DS</t>
  </si>
  <si>
    <t>ZO-LI-015-02</t>
  </si>
  <si>
    <t>LIBRELA 15MG (20-30KG) 1X2DS</t>
  </si>
  <si>
    <t>ZO-LI-020-02</t>
  </si>
  <si>
    <t>LIBRELA 20MG (30-40KG) 1X2DS</t>
  </si>
  <si>
    <t>ZO-LI-030-02</t>
  </si>
  <si>
    <t>LIBRELA 30MG (40-60KG) 1X2DS</t>
  </si>
  <si>
    <t>ZO-LI-005-02</t>
  </si>
  <si>
    <t>LIBRELA 5MG (5-10KG) 1X2DS</t>
  </si>
  <si>
    <t>VE-OR-000-10</t>
  </si>
  <si>
    <t>ORIDERMYL PDA OTO 10G * PERMETRINA + NEOCIMINA + TRIANCINOLONA</t>
  </si>
  <si>
    <t>VI-AL-030-10</t>
  </si>
  <si>
    <t>ALIZIN 30MG/ML 10ML * AGLEPRISTONA</t>
  </si>
  <si>
    <t>OR-AN-005-10</t>
  </si>
  <si>
    <t>ANTISEDAN 5MG/ML 10ML * ATIPAMEZOLE</t>
  </si>
  <si>
    <t>CAZITEL PLUS XL 50CP * PRAZIQUANTEL + PIRANTEL + FEBANTEL</t>
  </si>
  <si>
    <t>ZO-CY-010-02</t>
  </si>
  <si>
    <t>ZO-CY-020-02</t>
  </si>
  <si>
    <t>ZO-CY-030-02</t>
  </si>
  <si>
    <t>ZO-CY-040-02</t>
  </si>
  <si>
    <t>OR-DE-005-10</t>
  </si>
  <si>
    <t>KR-ES-050-1C</t>
  </si>
  <si>
    <t>ROYAL CANIN FHN INDOOR 27 2KG</t>
  </si>
  <si>
    <t>ROYAL CANIN VHN SATIETY CANINE 6KG</t>
  </si>
  <si>
    <t>ZO-TO-010-10</t>
  </si>
  <si>
    <t>TORBUGESIC 10MG/ML 10ML * BUTORFANOL</t>
  </si>
  <si>
    <t>CE-XE-200-1C</t>
  </si>
  <si>
    <t>CE-XE-100-1C</t>
  </si>
  <si>
    <t>CONTROLE DE REPRODUÇÃO</t>
  </si>
  <si>
    <t>ANTIPROGESTÁNEOS</t>
  </si>
  <si>
    <t>?</t>
  </si>
  <si>
    <t>ANTIALÉRGICOS</t>
  </si>
  <si>
    <t>IMUNOMODULADORES</t>
  </si>
  <si>
    <t>ANTIPARASITÁRIOS</t>
  </si>
  <si>
    <t>ANTIPARASITARIOS</t>
  </si>
  <si>
    <t>ANTIEMÉTICOS</t>
  </si>
  <si>
    <t>ANTAGONISTA NK-1</t>
  </si>
  <si>
    <t>VIVAS ATENUADAS</t>
  </si>
  <si>
    <t>ALFA-2 AGONISTAS</t>
  </si>
  <si>
    <t>ANTIPARASITÀRIOS</t>
  </si>
  <si>
    <t>QUINOLONAS</t>
  </si>
  <si>
    <t>ANTI-INFLAMATÓRIO</t>
  </si>
  <si>
    <t>ENDECTOPARASITICIDAS</t>
  </si>
  <si>
    <t>ANTIPARASITÃRIOS</t>
  </si>
  <si>
    <t>BETA-LATAMICO</t>
  </si>
  <si>
    <t>OPIOIDES</t>
  </si>
  <si>
    <t>VIVAS ATENUADAS+ RAIVA</t>
  </si>
  <si>
    <t>VACINAS VIVAS ATENUADAS</t>
  </si>
  <si>
    <t>DERMATOLOGICOS</t>
  </si>
  <si>
    <t>Orion</t>
  </si>
  <si>
    <t xml:space="preserve">Purina </t>
  </si>
  <si>
    <t xml:space="preserve">Wepharm </t>
  </si>
  <si>
    <t>Ecuphar</t>
  </si>
  <si>
    <t>aniMedica</t>
  </si>
  <si>
    <t>KRKA</t>
  </si>
  <si>
    <t>Iapsa</t>
  </si>
  <si>
    <t>Chanalla</t>
  </si>
  <si>
    <t>WE-CO-000-1C</t>
  </si>
  <si>
    <t>WECOGNI 180GR</t>
  </si>
  <si>
    <t>WE-MU-000-2C</t>
  </si>
  <si>
    <t>WEMUNO 225GR</t>
  </si>
  <si>
    <t>PURINA DOG CHOW PUPPY COM BORREGO 14KG</t>
  </si>
  <si>
    <t>PU-DC-PBO-14</t>
  </si>
  <si>
    <t>RC-BH-CHA-1H</t>
  </si>
  <si>
    <t>ROYAL CANIN BHN CHIHUAHUA ADULT 1.5KG</t>
  </si>
  <si>
    <t>RC-BH-CHP-1H</t>
  </si>
  <si>
    <t>ROYAL CANIN BHN CHIHUAHUA PUPPY 1.5KG</t>
  </si>
  <si>
    <t>RC-VH-RCM-2C</t>
  </si>
  <si>
    <t>ROYAL CANIN VHN RECOVERY MOUSE 195G</t>
  </si>
  <si>
    <t>ROYAL CANIN FHN KITTEN STERILISED 400G</t>
  </si>
  <si>
    <t>ROYAL CANIN FHN KITTEN STERILISED PEDAÇOS EM MOLHO 12X85G</t>
  </si>
  <si>
    <t>RC-FH-KIS-GR</t>
  </si>
  <si>
    <t>RC-FH-KIS-4C</t>
  </si>
  <si>
    <t>RC-SH-SMP-8C</t>
  </si>
  <si>
    <t>ROYAL CANIN SHN MINI PUPPY 800G</t>
  </si>
  <si>
    <t>RC-VH-NAM-3H</t>
  </si>
  <si>
    <t>RC-VH-RED-02</t>
  </si>
  <si>
    <t>RC-VH-REC-02</t>
  </si>
  <si>
    <t>ROYAL CANIN VHN NEUTERED ADULT MEDIUM 3.5KG</t>
  </si>
  <si>
    <t>ROYAL CANIN RENAL FOR CATS 2KG</t>
  </si>
  <si>
    <t>ROYAL CANIN RENAL FOR DOGS 2KG</t>
  </si>
  <si>
    <t>ROYAL CANIN VHN HEPATIC CANINE 7KG</t>
  </si>
  <si>
    <t>RC-VH-HEC-07</t>
  </si>
  <si>
    <t>DRONTAL PUPPY S.ORAL 50ML * PIRANTEL + FEBANTEL</t>
  </si>
  <si>
    <t>BA-DR-PUP-50</t>
  </si>
  <si>
    <t>ZO-DU-INJ-5C</t>
  </si>
  <si>
    <t>PU-DC-AFR-2H</t>
  </si>
  <si>
    <t>PURINA DOG CHOW ADULT COM FRANGO 2.5KG</t>
  </si>
  <si>
    <t>RC-VH-USD-02</t>
  </si>
  <si>
    <t>ROYAL CANIN VHN URINARY S/O FOR DOGS 2KG</t>
  </si>
  <si>
    <t>ROYAL CANIN VHN GASTROINTESTINAL FOR CATS 2KG</t>
  </si>
  <si>
    <t>WE-SK-SEB-2C</t>
  </si>
  <si>
    <t>WESKIN SEB CHAMPOO 200ML</t>
  </si>
  <si>
    <t>WE-SK-CAL-2C</t>
  </si>
  <si>
    <t>WESKIN CALM CHAMPOO 200ML</t>
  </si>
  <si>
    <t>WE-JP-TAS-30</t>
  </si>
  <si>
    <t>WEJOINT PLUS TASTY RACAS PEQUENAS E GATOS 30 CHEWS</t>
  </si>
  <si>
    <t>WE-JP-TAM-30</t>
  </si>
  <si>
    <t>WEJOINT PLUS TASTY RACAS MEDIAS 30 CHEWS</t>
  </si>
  <si>
    <t>WE-JP-TAL-30</t>
  </si>
  <si>
    <t>WEJOINT PLUS TASTY RACAS GRANDES 30 CHEWS</t>
  </si>
  <si>
    <t>WE-BI-TAS-30</t>
  </si>
  <si>
    <t>WEBIOTIC TASTY 30 CHEWS</t>
  </si>
  <si>
    <t>WE-CA-TAS-30</t>
  </si>
  <si>
    <t>WECALM TASTY 30 CHEWS</t>
  </si>
  <si>
    <t>WE-MA-TAS-30</t>
  </si>
  <si>
    <t>WEMALT TASTY 30 CHEWS</t>
  </si>
  <si>
    <t>RC-VH-HYC-01</t>
  </si>
  <si>
    <t>ROYAL CANIN VHN HYPOALLERGENIC CANINE SMALL DOG 1KG</t>
  </si>
  <si>
    <t>RC-VH-HYC-07</t>
  </si>
  <si>
    <t>ROYAL CANIN VHN HYPOALLERGENIC CANINE 7KG</t>
  </si>
  <si>
    <t>RC-CH-EDU-50</t>
  </si>
  <si>
    <t>ROYAL CANIN EDUC 50G</t>
  </si>
  <si>
    <t>PU-GG-MFR-85</t>
  </si>
  <si>
    <t>PU-GG-SEM-85</t>
  </si>
  <si>
    <t>PU-GG-MPO-85</t>
  </si>
  <si>
    <t>PU-GG-MVA-85</t>
  </si>
  <si>
    <t>HÚMIDA</t>
  </si>
  <si>
    <t>PURINA GOURMET GOLD MOUSSE COM FRANGO 24X85G</t>
  </si>
  <si>
    <t>PURINA GOURMET GOLD SELECCAO DE MOUSSES 24X85G</t>
  </si>
  <si>
    <t>PURINA GOURMET GOLD MOUSSE COM PEIXE DO OCEANO 24X85G</t>
  </si>
  <si>
    <t>PURINA GOURMET GOLD MOUSSE COM VACA 24X85G</t>
  </si>
  <si>
    <t>ZO-CE-024-04</t>
  </si>
  <si>
    <t>CERENIA 24MG 4CP * MAROPITANT</t>
  </si>
  <si>
    <t>ZO-CE-160-04</t>
  </si>
  <si>
    <t>CERENIA 160MG 4CP * MAROPITANT</t>
  </si>
  <si>
    <t/>
  </si>
  <si>
    <t>WE-VI-TAS-30</t>
  </si>
  <si>
    <t>WEVIT TASTY 30 CHEWS</t>
  </si>
  <si>
    <t>12/01/2026</t>
  </si>
  <si>
    <t>TE-VI-000-1M</t>
  </si>
  <si>
    <t>VINCRISTINA 1MG/ML INJ 1ML * SULFATO VINCRISTINA</t>
  </si>
  <si>
    <t>ANTINEOPLASICO</t>
  </si>
  <si>
    <t>2026-11</t>
  </si>
  <si>
    <t>2027-08</t>
  </si>
  <si>
    <t>2027-06</t>
  </si>
  <si>
    <t>2026-10</t>
  </si>
  <si>
    <t>2027-09</t>
  </si>
  <si>
    <t>2027-05</t>
  </si>
  <si>
    <t>CE-DO-S3P-2C</t>
  </si>
  <si>
    <t>DOUXO S3 PYO CHAMPO 200ML * CLOREXIDINA + OPHYTRIUM</t>
  </si>
  <si>
    <t>DE-MC-000-2C</t>
  </si>
  <si>
    <t>MALASEB CHAMPO 250ML * CLOREXIDINA + MICONAZOL</t>
  </si>
  <si>
    <t>RC-FH-BCM-3K</t>
  </si>
  <si>
    <t>ROYAL CANIN BABY CAT MILK 300G</t>
  </si>
  <si>
    <t>ROYAL CANIN VHN GASTROINTESTINAL 7.5KG</t>
  </si>
  <si>
    <t>RC-VH-GAS-7H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</si>
</sst>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"/>
  </numFmts>
  <fonts count="7" x14ac:knownFonts="1">
    <font>
      <sz val="11"/>
      <color theme="1"/>
      <name val="Calibri"/>
    </font>
    <font>
      <sz val="11"/>
      <color theme="4" tint="-0.249977111117893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 tint="0.14996795556505021"/>
      <name val="Calibri"/>
      <family val="2"/>
    </font>
    <font>
      <sz val="11"/>
      <color rgb="FF26262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3F56"/>
        <bgColor indexed="22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2">
    <xf numFmtId="0" fontId="0" fillId="0" borderId="0"/>
    <xf numFmtId="9" fontId="4" fillId="0" borderId="0" applyBorder="0"/>
  </cellStyleXfs>
  <cellXfs count="28">
    <xf numFmtId="0" fontId="0" fillId="0" borderId="0" xfId="0"/>
    <xf numFmtId="14" fontId="0" fillId="0" borderId="0" xfId="0" applyNumberForma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vertical="center"/>
    </xf>
    <xf numFmtId="9" fontId="4" fillId="0" borderId="0" xfId="1" applyAlignment="1">
      <alignment vertical="center"/>
    </xf>
    <xf numFmtId="3" fontId="0" fillId="0" borderId="2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vertical="center" wrapText="1"/>
    </xf>
    <xf numFmtId="9" fontId="4" fillId="0" borderId="0" xfId="1" applyAlignment="1">
      <alignment vertical="center" wrapText="1"/>
    </xf>
    <xf numFmtId="3" fontId="0" fillId="0" borderId="2" xfId="0" applyNumberFormat="1" applyBorder="1" applyAlignment="1" applyProtection="1">
      <alignment vertical="center" wrapText="1"/>
      <protection locked="0"/>
    </xf>
    <xf numFmtId="3" fontId="0" fillId="0" borderId="3" xfId="0" applyNumberForma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6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border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2060"/>
      </font>
      <fill>
        <patternFill patternType="solid">
          <fgColor theme="4" tint="0.59996337778862885"/>
          <bgColor theme="4" tint="0.59996337778862885"/>
        </patternFill>
      </fill>
    </dxf>
    <dxf>
      <numFmt numFmtId="164" formatCode="yyyy\-mm"/>
      <alignment horizontal="center" vertical="center" textRotation="0" wrapText="0" relativeIndent="0" shrinkToFit="0"/>
    </dxf>
    <dxf>
      <numFmt numFmtId="4" formatCode="#,##0.00"/>
      <alignment horizontal="general" vertical="center" textRotation="0" wrapText="0" indent="0" justifyLastLine="0" shrinkToFit="0" readingOrder="0"/>
    </dxf>
    <dxf>
      <numFmt numFmtId="3" formatCode="#,##0"/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</dxf>
    <dxf>
      <fill>
        <patternFill patternType="solid">
          <fgColor rgb="FFF0F0F0"/>
          <bgColor rgb="FFF0F0F0"/>
        </patternFill>
      </fill>
      <border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  <fill>
        <patternFill patternType="solid">
          <fgColor rgb="FF003F56"/>
          <bgColor rgb="FF003F56"/>
        </patternFill>
      </fill>
      <border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color theme="1" tint="0.14996795556505021"/>
      </font>
    </dxf>
  </dxfs>
  <tableStyles count="1" defaultTableStyle="TableStyleMedium2" defaultPivotStyle="PivotStyleLight16">
    <tableStyle name="Vetify" pivot="0" count="3" xr9:uid="{00000000-0011-0000-FFFF-FFFF00000000}">
      <tableStyleElement type="wholeTable" dxfId="15"/>
      <tableStyleElement type="headerRow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12700</xdr:rowOff>
    </xdr:from>
    <xdr:to>
      <xdr:col>1</xdr:col>
      <xdr:colOff>2554110</xdr:colOff>
      <xdr:row>3</xdr:row>
      <xdr:rowOff>9054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4547" b="27848"/>
        <a:stretch/>
      </xdr:blipFill>
      <xdr:spPr bwMode="auto">
        <a:xfrm>
          <a:off x="25400" y="12700"/>
          <a:ext cx="3657600" cy="97002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L183">
  <autoFilter ref="A5:L183" xr:uid="{00000000-0009-0000-0100-000001000000}"/>
  <sortState xmlns:xlrd2="http://schemas.microsoft.com/office/spreadsheetml/2017/richdata2" ref="A6:L183">
    <sortCondition ref="B5:B183"/>
  </sortState>
  <tableColumns count="12">
    <tableColumn id="1" xr3:uid="{00000000-0010-0000-0000-000001000000}" name="CÓDIGO"/>
    <tableColumn id="2" xr3:uid="{00000000-0010-0000-0000-000002000000}" name="DESCRIÇÃO "/>
    <tableColumn id="3" xr3:uid="{00000000-0010-0000-0000-000003000000}" name="DISPONIBILIDADE" dataDxfId="12"/>
    <tableColumn id="4" xr3:uid="{00000000-0010-0000-0000-000004000000}" name="PVP /S IVA"/>
    <tableColumn id="5" xr3:uid="{00000000-0010-0000-0000-000005000000}" name="IVA"/>
    <tableColumn id="6" xr3:uid="{00000000-0010-0000-0000-000006000000}" name="PVP C/IVA" dataDxfId="11">
      <calculatedColumnFormula>D6*(1+E6)</calculatedColumnFormula>
    </tableColumn>
    <tableColumn id="7" xr3:uid="{00000000-0010-0000-0000-000007000000}" name="QTD A ENC." dataDxfId="10"/>
    <tableColumn id="8" xr3:uid="{00000000-0010-0000-0000-000008000000}" name="VALOR TOTAL" dataDxfId="9">
      <calculatedColumnFormula>IF(G6="","",G6*F6)</calculatedColumnFormula>
    </tableColumn>
    <tableColumn id="9" xr3:uid="{00000000-0010-0000-0000-000009000000}" name="VALIDADE" dataDxfId="8"/>
    <tableColumn id="10" xr3:uid="{00000000-0010-0000-0000-00000A000000}" name="FAMILIA "/>
    <tableColumn id="11" xr3:uid="{00000000-0010-0000-0000-00000B000000}" name="SUB-FAMILIA"/>
    <tableColumn id="12" xr3:uid="{00000000-0010-0000-0000-00000C000000}" name="MARCA / LABORATÓRIO"/>
  </tableColumns>
  <tableStyleInfo name="Vetif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83"/>
  <sheetViews>
    <sheetView showGridLines="0" tabSelected="1" topLeftCell="A101" zoomScaleNormal="100" workbookViewId="0">
      <selection activeCell="J111" sqref="J111"/>
    </sheetView>
  </sheetViews>
  <sheetFormatPr baseColWidth="10" defaultColWidth="8.83203125" defaultRowHeight="26" customHeight="1" x14ac:dyDescent="0.2"/>
  <cols>
    <col min="1" max="1" width="14.83203125" customWidth="1"/>
    <col min="2" max="2" width="60.6640625" bestFit="1" customWidth="1"/>
    <col min="3" max="3" width="20.83203125" customWidth="1"/>
    <col min="4" max="4" width="14.83203125" customWidth="1"/>
    <col min="5" max="5" width="8.83203125" customWidth="1"/>
    <col min="6" max="6" width="14.83203125" customWidth="1"/>
    <col min="7" max="8" width="20.83203125" customWidth="1"/>
    <col min="9" max="9" width="14.83203125" customWidth="1"/>
    <col min="10" max="12" width="28.83203125" customWidth="1"/>
  </cols>
  <sheetData>
    <row r="1" spans="1:12" ht="26" customHeight="1" x14ac:dyDescent="0.2">
      <c r="A1" s="24"/>
      <c r="B1" s="24"/>
    </row>
    <row r="2" spans="1:12" ht="26" customHeight="1" x14ac:dyDescent="0.2">
      <c r="A2" s="24"/>
      <c r="B2" s="24"/>
      <c r="C2" s="1"/>
      <c r="D2" t="s">
        <v>421</v>
      </c>
      <c r="I2" s="2"/>
    </row>
    <row r="3" spans="1:12" ht="26" customHeight="1" x14ac:dyDescent="0.2">
      <c r="G3" s="25" t="s">
        <v>0</v>
      </c>
      <c r="H3" s="26">
        <f>SUM(H6:H1108)</f>
        <v>0</v>
      </c>
    </row>
    <row r="4" spans="1:12" ht="26" customHeight="1" x14ac:dyDescent="0.2">
      <c r="A4" s="2" t="s">
        <v>1</v>
      </c>
      <c r="E4" s="3"/>
      <c r="F4" s="3"/>
      <c r="G4" s="25"/>
      <c r="H4" s="26"/>
      <c r="I4" s="3"/>
      <c r="J4" s="3"/>
      <c r="K4" s="3"/>
      <c r="L4" s="3"/>
    </row>
    <row r="5" spans="1:12" s="4" customFormat="1" ht="48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</row>
    <row r="6" spans="1:12" ht="26" customHeight="1" x14ac:dyDescent="0.2">
      <c r="A6" s="6" t="s">
        <v>303</v>
      </c>
      <c r="B6" s="6" t="s">
        <v>304</v>
      </c>
      <c r="C6" s="5" t="s">
        <v>33</v>
      </c>
      <c r="D6" s="7">
        <v>65430</v>
      </c>
      <c r="E6" s="8">
        <v>0</v>
      </c>
      <c r="F6" s="7">
        <f t="shared" ref="F6:F35" si="0">D6*(1+E6)</f>
        <v>65430</v>
      </c>
      <c r="G6" s="9"/>
      <c r="H6" s="7" t="str">
        <f t="shared" ref="H6:H35" si="1">IF(G6="","",G6*F6)</f>
        <v/>
      </c>
      <c r="I6" s="10">
        <v>46661</v>
      </c>
      <c r="J6" s="6" t="s">
        <v>320</v>
      </c>
      <c r="K6" s="6" t="s">
        <v>321</v>
      </c>
      <c r="L6" s="6" t="s">
        <v>17</v>
      </c>
    </row>
    <row r="7" spans="1:12" ht="26" customHeight="1" x14ac:dyDescent="0.2">
      <c r="A7" s="6" t="s">
        <v>305</v>
      </c>
      <c r="B7" s="6" t="s">
        <v>306</v>
      </c>
      <c r="C7" s="5" t="s">
        <v>33</v>
      </c>
      <c r="D7" s="7">
        <v>68885</v>
      </c>
      <c r="E7" s="8">
        <v>0</v>
      </c>
      <c r="F7" s="7">
        <f t="shared" si="0"/>
        <v>68885</v>
      </c>
      <c r="G7" s="9"/>
      <c r="H7" s="7" t="str">
        <f t="shared" si="1"/>
        <v/>
      </c>
      <c r="I7" s="20">
        <v>46081</v>
      </c>
      <c r="J7" s="6" t="s">
        <v>19</v>
      </c>
      <c r="K7" s="6" t="s">
        <v>322</v>
      </c>
      <c r="L7" s="6" t="s">
        <v>341</v>
      </c>
    </row>
    <row r="8" spans="1:12" ht="26" customHeight="1" x14ac:dyDescent="0.2">
      <c r="A8" s="6" t="s">
        <v>20</v>
      </c>
      <c r="B8" s="6" t="s">
        <v>21</v>
      </c>
      <c r="C8" s="5" t="s">
        <v>14</v>
      </c>
      <c r="D8" s="7">
        <v>56870</v>
      </c>
      <c r="E8" s="8">
        <v>0</v>
      </c>
      <c r="F8" s="7">
        <f t="shared" si="0"/>
        <v>56870</v>
      </c>
      <c r="G8" s="9"/>
      <c r="H8" s="7" t="str">
        <f t="shared" si="1"/>
        <v/>
      </c>
      <c r="I8" s="10">
        <v>46173</v>
      </c>
      <c r="J8" s="6" t="s">
        <v>323</v>
      </c>
      <c r="K8" s="6" t="s">
        <v>324</v>
      </c>
      <c r="L8" s="6" t="s">
        <v>16</v>
      </c>
    </row>
    <row r="9" spans="1:12" ht="26" customHeight="1" x14ac:dyDescent="0.2">
      <c r="A9" s="6" t="s">
        <v>22</v>
      </c>
      <c r="B9" s="6" t="s">
        <v>23</v>
      </c>
      <c r="C9" s="5" t="s">
        <v>14</v>
      </c>
      <c r="D9" s="7">
        <v>28020</v>
      </c>
      <c r="E9" s="8">
        <v>0</v>
      </c>
      <c r="F9" s="7">
        <f t="shared" si="0"/>
        <v>28020</v>
      </c>
      <c r="G9" s="9"/>
      <c r="H9" s="7" t="str">
        <f t="shared" si="1"/>
        <v/>
      </c>
      <c r="I9" s="10">
        <v>46477</v>
      </c>
      <c r="J9" s="6" t="s">
        <v>323</v>
      </c>
      <c r="K9" s="6" t="s">
        <v>324</v>
      </c>
      <c r="L9" s="6" t="s">
        <v>16</v>
      </c>
    </row>
    <row r="10" spans="1:12" ht="26" customHeight="1" x14ac:dyDescent="0.2">
      <c r="A10" s="6" t="s">
        <v>24</v>
      </c>
      <c r="B10" s="6" t="s">
        <v>25</v>
      </c>
      <c r="C10" s="5" t="s">
        <v>14</v>
      </c>
      <c r="D10" s="7">
        <v>29050</v>
      </c>
      <c r="E10" s="8">
        <v>0</v>
      </c>
      <c r="F10" s="7">
        <f t="shared" si="0"/>
        <v>29050</v>
      </c>
      <c r="G10" s="9"/>
      <c r="H10" s="7" t="str">
        <f t="shared" si="1"/>
        <v/>
      </c>
      <c r="I10" s="10">
        <v>46783</v>
      </c>
      <c r="J10" s="6" t="s">
        <v>323</v>
      </c>
      <c r="K10" s="6" t="s">
        <v>324</v>
      </c>
      <c r="L10" s="6" t="s">
        <v>16</v>
      </c>
    </row>
    <row r="11" spans="1:12" ht="26" customHeight="1" x14ac:dyDescent="0.2">
      <c r="A11" s="6" t="s">
        <v>29</v>
      </c>
      <c r="B11" s="6" t="s">
        <v>30</v>
      </c>
      <c r="C11" s="5" t="s">
        <v>33</v>
      </c>
      <c r="D11" s="7">
        <v>154110</v>
      </c>
      <c r="E11" s="8">
        <v>0</v>
      </c>
      <c r="F11" s="7">
        <f t="shared" si="0"/>
        <v>154110</v>
      </c>
      <c r="G11" s="9"/>
      <c r="H11" s="7" t="str">
        <f t="shared" si="1"/>
        <v/>
      </c>
      <c r="I11" s="10">
        <v>46660</v>
      </c>
      <c r="J11" s="6" t="s">
        <v>325</v>
      </c>
      <c r="K11" s="6" t="s">
        <v>28</v>
      </c>
      <c r="L11" s="6" t="s">
        <v>16</v>
      </c>
    </row>
    <row r="12" spans="1:12" ht="26" customHeight="1" x14ac:dyDescent="0.2">
      <c r="A12" s="6" t="s">
        <v>27</v>
      </c>
      <c r="B12" s="6" t="s">
        <v>307</v>
      </c>
      <c r="C12" s="5" t="s">
        <v>14</v>
      </c>
      <c r="D12" s="7">
        <v>137438</v>
      </c>
      <c r="E12" s="8">
        <v>0</v>
      </c>
      <c r="F12" s="7">
        <f t="shared" si="0"/>
        <v>137438</v>
      </c>
      <c r="G12" s="9"/>
      <c r="H12" s="7" t="str">
        <f t="shared" si="1"/>
        <v/>
      </c>
      <c r="I12" s="10">
        <v>46538</v>
      </c>
      <c r="J12" s="6" t="s">
        <v>326</v>
      </c>
      <c r="K12" s="6" t="s">
        <v>28</v>
      </c>
      <c r="L12" s="6" t="s">
        <v>16</v>
      </c>
    </row>
    <row r="13" spans="1:12" ht="26" customHeight="1" x14ac:dyDescent="0.2">
      <c r="A13" s="6" t="s">
        <v>416</v>
      </c>
      <c r="B13" s="6" t="s">
        <v>417</v>
      </c>
      <c r="C13" s="5" t="s">
        <v>14</v>
      </c>
      <c r="D13" s="7">
        <v>33590</v>
      </c>
      <c r="E13" s="8">
        <v>0</v>
      </c>
      <c r="F13" s="7">
        <f t="shared" si="0"/>
        <v>33590</v>
      </c>
      <c r="G13" s="9"/>
      <c r="H13" s="7" t="str">
        <f t="shared" si="1"/>
        <v/>
      </c>
      <c r="I13" s="10">
        <v>46658</v>
      </c>
      <c r="J13" s="6" t="s">
        <v>327</v>
      </c>
      <c r="K13" s="6" t="s">
        <v>328</v>
      </c>
      <c r="L13" s="6" t="s">
        <v>16</v>
      </c>
    </row>
    <row r="14" spans="1:12" ht="26" customHeight="1" x14ac:dyDescent="0.2">
      <c r="A14" s="6" t="s">
        <v>414</v>
      </c>
      <c r="B14" s="6" t="s">
        <v>415</v>
      </c>
      <c r="C14" s="5" t="s">
        <v>14</v>
      </c>
      <c r="D14" s="7">
        <v>13900</v>
      </c>
      <c r="E14" s="8">
        <v>0</v>
      </c>
      <c r="F14" s="7">
        <f t="shared" si="0"/>
        <v>13900</v>
      </c>
      <c r="G14" s="9"/>
      <c r="H14" s="7" t="str">
        <f t="shared" si="1"/>
        <v/>
      </c>
      <c r="I14" s="10">
        <v>46658</v>
      </c>
      <c r="J14" s="6" t="s">
        <v>327</v>
      </c>
      <c r="K14" s="6" t="s">
        <v>328</v>
      </c>
      <c r="L14" s="6" t="s">
        <v>16</v>
      </c>
    </row>
    <row r="15" spans="1:12" ht="26" customHeight="1" x14ac:dyDescent="0.2">
      <c r="A15" s="6" t="s">
        <v>31</v>
      </c>
      <c r="B15" s="6" t="s">
        <v>32</v>
      </c>
      <c r="C15" s="5" t="s">
        <v>33</v>
      </c>
      <c r="D15" s="7">
        <v>87920</v>
      </c>
      <c r="E15" s="8">
        <v>0</v>
      </c>
      <c r="F15" s="7">
        <f t="shared" si="0"/>
        <v>87920</v>
      </c>
      <c r="G15" s="9"/>
      <c r="H15" s="7" t="str">
        <f t="shared" si="1"/>
        <v/>
      </c>
      <c r="I15" s="10">
        <v>46629</v>
      </c>
      <c r="J15" s="6" t="s">
        <v>327</v>
      </c>
      <c r="K15" s="6" t="s">
        <v>328</v>
      </c>
      <c r="L15" s="6" t="s">
        <v>16</v>
      </c>
    </row>
    <row r="16" spans="1:12" ht="26" customHeight="1" x14ac:dyDescent="0.2">
      <c r="A16" s="6" t="s">
        <v>34</v>
      </c>
      <c r="B16" s="6" t="s">
        <v>35</v>
      </c>
      <c r="C16" s="5" t="s">
        <v>33</v>
      </c>
      <c r="D16" s="7">
        <v>28900</v>
      </c>
      <c r="E16" s="8">
        <v>0</v>
      </c>
      <c r="F16" s="7">
        <f t="shared" si="0"/>
        <v>28900</v>
      </c>
      <c r="G16" s="9"/>
      <c r="H16" s="7" t="str">
        <f t="shared" si="1"/>
        <v/>
      </c>
      <c r="I16" s="10">
        <v>46447</v>
      </c>
      <c r="J16" s="6" t="s">
        <v>325</v>
      </c>
      <c r="K16" s="6" t="s">
        <v>322</v>
      </c>
      <c r="L16" s="6" t="s">
        <v>344</v>
      </c>
    </row>
    <row r="17" spans="1:12" ht="26" customHeight="1" x14ac:dyDescent="0.2">
      <c r="A17" s="6" t="s">
        <v>308</v>
      </c>
      <c r="B17" s="6" t="s">
        <v>37</v>
      </c>
      <c r="C17" s="5" t="s">
        <v>14</v>
      </c>
      <c r="D17" s="7">
        <v>80220</v>
      </c>
      <c r="E17" s="8">
        <v>0</v>
      </c>
      <c r="F17" s="7">
        <f t="shared" si="0"/>
        <v>80220</v>
      </c>
      <c r="G17" s="9"/>
      <c r="H17" s="7" t="str">
        <f t="shared" si="1"/>
        <v/>
      </c>
      <c r="I17" s="10">
        <v>46262</v>
      </c>
      <c r="J17" s="6" t="s">
        <v>323</v>
      </c>
      <c r="K17" s="6" t="s">
        <v>324</v>
      </c>
      <c r="L17" s="6" t="s">
        <v>16</v>
      </c>
    </row>
    <row r="18" spans="1:12" ht="26" customHeight="1" x14ac:dyDescent="0.2">
      <c r="A18" s="6" t="s">
        <v>309</v>
      </c>
      <c r="B18" s="6" t="s">
        <v>38</v>
      </c>
      <c r="C18" s="5" t="s">
        <v>14</v>
      </c>
      <c r="D18" s="7">
        <v>113350</v>
      </c>
      <c r="E18" s="8">
        <v>0</v>
      </c>
      <c r="F18" s="7">
        <f t="shared" si="0"/>
        <v>113350</v>
      </c>
      <c r="G18" s="9"/>
      <c r="H18" s="7" t="str">
        <f t="shared" si="1"/>
        <v/>
      </c>
      <c r="I18" s="10">
        <v>46477</v>
      </c>
      <c r="J18" s="6" t="s">
        <v>323</v>
      </c>
      <c r="K18" s="6" t="s">
        <v>324</v>
      </c>
      <c r="L18" s="6" t="s">
        <v>16</v>
      </c>
    </row>
    <row r="19" spans="1:12" ht="26" customHeight="1" x14ac:dyDescent="0.2">
      <c r="A19" s="6" t="s">
        <v>310</v>
      </c>
      <c r="B19" s="6" t="s">
        <v>39</v>
      </c>
      <c r="C19" s="5" t="s">
        <v>14</v>
      </c>
      <c r="D19" s="7">
        <v>155080</v>
      </c>
      <c r="E19" s="8">
        <v>0</v>
      </c>
      <c r="F19" s="7">
        <f t="shared" si="0"/>
        <v>155080</v>
      </c>
      <c r="G19" s="9"/>
      <c r="H19" s="7" t="str">
        <f t="shared" si="1"/>
        <v/>
      </c>
      <c r="I19" s="10">
        <v>46081</v>
      </c>
      <c r="J19" s="6" t="s">
        <v>323</v>
      </c>
      <c r="K19" s="6" t="s">
        <v>324</v>
      </c>
      <c r="L19" s="6" t="s">
        <v>16</v>
      </c>
    </row>
    <row r="20" spans="1:12" ht="26" customHeight="1" x14ac:dyDescent="0.2">
      <c r="A20" s="6" t="s">
        <v>311</v>
      </c>
      <c r="B20" s="6" t="s">
        <v>40</v>
      </c>
      <c r="C20" s="5" t="s">
        <v>14</v>
      </c>
      <c r="D20" s="7">
        <v>196590</v>
      </c>
      <c r="E20" s="8">
        <v>0</v>
      </c>
      <c r="F20" s="7">
        <f t="shared" si="0"/>
        <v>196590</v>
      </c>
      <c r="G20" s="9"/>
      <c r="H20" s="7" t="str">
        <f t="shared" si="1"/>
        <v/>
      </c>
      <c r="I20" s="20">
        <v>46293</v>
      </c>
      <c r="J20" s="6" t="s">
        <v>323</v>
      </c>
      <c r="K20" s="6" t="s">
        <v>324</v>
      </c>
      <c r="L20" s="6" t="s">
        <v>16</v>
      </c>
    </row>
    <row r="21" spans="1:12" s="11" customFormat="1" ht="26" customHeight="1" x14ac:dyDescent="0.2">
      <c r="A21" s="6" t="s">
        <v>312</v>
      </c>
      <c r="B21" s="6" t="s">
        <v>41</v>
      </c>
      <c r="C21" s="5" t="s">
        <v>14</v>
      </c>
      <c r="D21" s="7">
        <v>92750</v>
      </c>
      <c r="E21" s="8">
        <v>0</v>
      </c>
      <c r="F21" s="7">
        <f t="shared" si="0"/>
        <v>92750</v>
      </c>
      <c r="G21" s="9"/>
      <c r="H21" s="7" t="str">
        <f t="shared" si="1"/>
        <v/>
      </c>
      <c r="I21" s="10">
        <v>46476</v>
      </c>
      <c r="J21" s="6" t="s">
        <v>19</v>
      </c>
      <c r="K21" s="6" t="s">
        <v>330</v>
      </c>
      <c r="L21" s="6" t="s">
        <v>341</v>
      </c>
    </row>
    <row r="22" spans="1:12" s="11" customFormat="1" ht="26" customHeight="1" x14ac:dyDescent="0.2">
      <c r="A22" s="21" t="s">
        <v>431</v>
      </c>
      <c r="B22" s="21" t="s">
        <v>432</v>
      </c>
      <c r="C22" s="5" t="s">
        <v>14</v>
      </c>
      <c r="D22" s="7">
        <v>92750</v>
      </c>
      <c r="E22" s="8">
        <v>0</v>
      </c>
      <c r="F22" s="7">
        <f t="shared" ref="F22" si="2">D22*(1+E22)</f>
        <v>92750</v>
      </c>
      <c r="G22" s="9"/>
      <c r="H22" s="7" t="str">
        <f t="shared" ref="H22" si="3">IF(G22="","",G22*F22)</f>
        <v/>
      </c>
      <c r="I22" s="10">
        <v>46535</v>
      </c>
      <c r="J22" s="21" t="s">
        <v>340</v>
      </c>
      <c r="K22" s="21" t="s">
        <v>340</v>
      </c>
      <c r="L22" s="6"/>
    </row>
    <row r="23" spans="1:12" s="11" customFormat="1" ht="26" customHeight="1" x14ac:dyDescent="0.2">
      <c r="A23" s="21" t="s">
        <v>376</v>
      </c>
      <c r="B23" s="6" t="s">
        <v>375</v>
      </c>
      <c r="C23" s="5" t="s">
        <v>33</v>
      </c>
      <c r="D23" s="7">
        <v>21525</v>
      </c>
      <c r="E23" s="8">
        <v>0</v>
      </c>
      <c r="F23" s="7">
        <f t="shared" si="0"/>
        <v>21525</v>
      </c>
      <c r="G23" s="9"/>
      <c r="H23" s="7" t="str">
        <f t="shared" si="1"/>
        <v/>
      </c>
      <c r="I23" s="10">
        <v>47026</v>
      </c>
      <c r="J23" s="6" t="s">
        <v>325</v>
      </c>
      <c r="K23" s="21" t="s">
        <v>28</v>
      </c>
      <c r="L23" s="6" t="s">
        <v>87</v>
      </c>
    </row>
    <row r="24" spans="1:12" s="11" customFormat="1" ht="26" customHeight="1" x14ac:dyDescent="0.2">
      <c r="A24" s="21" t="s">
        <v>377</v>
      </c>
      <c r="B24" s="6" t="s">
        <v>42</v>
      </c>
      <c r="C24" s="5" t="s">
        <v>18</v>
      </c>
      <c r="D24" s="7">
        <v>37030</v>
      </c>
      <c r="E24" s="8">
        <v>0</v>
      </c>
      <c r="F24" s="7">
        <f t="shared" si="0"/>
        <v>37030</v>
      </c>
      <c r="G24" s="9"/>
      <c r="H24" s="7" t="str">
        <f t="shared" si="1"/>
        <v/>
      </c>
      <c r="I24" s="10" t="s">
        <v>418</v>
      </c>
      <c r="J24" s="6" t="s">
        <v>43</v>
      </c>
      <c r="K24" s="6" t="s">
        <v>44</v>
      </c>
      <c r="L24" s="6" t="s">
        <v>16</v>
      </c>
    </row>
    <row r="25" spans="1:12" s="11" customFormat="1" ht="26" customHeight="1" x14ac:dyDescent="0.2">
      <c r="A25" s="6" t="s">
        <v>45</v>
      </c>
      <c r="B25" s="6" t="s">
        <v>46</v>
      </c>
      <c r="C25" s="5" t="s">
        <v>14</v>
      </c>
      <c r="D25" s="7">
        <v>12460</v>
      </c>
      <c r="E25" s="8">
        <v>0</v>
      </c>
      <c r="F25" s="7">
        <f t="shared" si="0"/>
        <v>12460</v>
      </c>
      <c r="G25" s="9"/>
      <c r="H25" s="7" t="str">
        <f t="shared" si="1"/>
        <v/>
      </c>
      <c r="I25" s="10">
        <v>46170</v>
      </c>
      <c r="J25" s="6" t="s">
        <v>325</v>
      </c>
      <c r="K25" s="6" t="s">
        <v>55</v>
      </c>
      <c r="L25" s="6" t="s">
        <v>16</v>
      </c>
    </row>
    <row r="26" spans="1:12" s="11" customFormat="1" ht="26" customHeight="1" x14ac:dyDescent="0.2">
      <c r="A26" s="6" t="s">
        <v>47</v>
      </c>
      <c r="B26" s="6" t="s">
        <v>48</v>
      </c>
      <c r="C26" s="5" t="s">
        <v>14</v>
      </c>
      <c r="D26" s="7">
        <v>14420</v>
      </c>
      <c r="E26" s="8">
        <v>0</v>
      </c>
      <c r="F26" s="7">
        <f t="shared" si="0"/>
        <v>14420</v>
      </c>
      <c r="G26" s="9"/>
      <c r="H26" s="7" t="str">
        <f t="shared" si="1"/>
        <v/>
      </c>
      <c r="I26" s="10">
        <v>46262</v>
      </c>
      <c r="J26" s="6" t="s">
        <v>331</v>
      </c>
      <c r="K26" s="6" t="s">
        <v>55</v>
      </c>
      <c r="L26" s="6" t="s">
        <v>16</v>
      </c>
    </row>
    <row r="27" spans="1:12" ht="26" customHeight="1" x14ac:dyDescent="0.2">
      <c r="A27" s="6" t="s">
        <v>49</v>
      </c>
      <c r="B27" s="6" t="s">
        <v>50</v>
      </c>
      <c r="C27" s="5" t="s">
        <v>18</v>
      </c>
      <c r="D27" s="7">
        <v>12975</v>
      </c>
      <c r="E27" s="8">
        <v>0</v>
      </c>
      <c r="F27" s="7">
        <f t="shared" si="0"/>
        <v>12975</v>
      </c>
      <c r="G27" s="9"/>
      <c r="H27" s="7" t="str">
        <f t="shared" si="1"/>
        <v/>
      </c>
      <c r="I27" s="10" t="s">
        <v>418</v>
      </c>
      <c r="J27" s="6" t="s">
        <v>325</v>
      </c>
      <c r="K27" s="6" t="s">
        <v>55</v>
      </c>
      <c r="L27" s="6" t="s">
        <v>16</v>
      </c>
    </row>
    <row r="28" spans="1:12" ht="26" customHeight="1" x14ac:dyDescent="0.2">
      <c r="A28" s="6" t="s">
        <v>51</v>
      </c>
      <c r="B28" s="6" t="s">
        <v>52</v>
      </c>
      <c r="C28" s="5" t="s">
        <v>18</v>
      </c>
      <c r="D28" s="7">
        <v>11200</v>
      </c>
      <c r="E28" s="8">
        <v>0</v>
      </c>
      <c r="F28" s="7">
        <f t="shared" si="0"/>
        <v>11200</v>
      </c>
      <c r="G28" s="9"/>
      <c r="H28" s="7" t="str">
        <f t="shared" si="1"/>
        <v/>
      </c>
      <c r="I28" s="10" t="s">
        <v>418</v>
      </c>
      <c r="J28" s="6" t="s">
        <v>325</v>
      </c>
      <c r="K28" s="6" t="s">
        <v>55</v>
      </c>
      <c r="L28" s="6" t="s">
        <v>16</v>
      </c>
    </row>
    <row r="29" spans="1:12" ht="26" customHeight="1" x14ac:dyDescent="0.2">
      <c r="A29" s="6" t="s">
        <v>53</v>
      </c>
      <c r="B29" s="6" t="s">
        <v>54</v>
      </c>
      <c r="C29" s="5" t="s">
        <v>18</v>
      </c>
      <c r="D29" s="7">
        <v>12910</v>
      </c>
      <c r="E29" s="8">
        <v>0</v>
      </c>
      <c r="F29" s="7">
        <f t="shared" si="0"/>
        <v>12910</v>
      </c>
      <c r="G29" s="9"/>
      <c r="H29" s="7" t="str">
        <f t="shared" si="1"/>
        <v/>
      </c>
      <c r="I29" s="10" t="s">
        <v>418</v>
      </c>
      <c r="J29" s="6" t="s">
        <v>325</v>
      </c>
      <c r="K29" s="6" t="s">
        <v>55</v>
      </c>
      <c r="L29" s="6" t="s">
        <v>16</v>
      </c>
    </row>
    <row r="30" spans="1:12" ht="26" customHeight="1" x14ac:dyDescent="0.2">
      <c r="A30" s="6" t="s">
        <v>56</v>
      </c>
      <c r="B30" s="6" t="s">
        <v>57</v>
      </c>
      <c r="C30" s="5" t="s">
        <v>14</v>
      </c>
      <c r="D30" s="7">
        <v>43620</v>
      </c>
      <c r="E30" s="8">
        <v>0</v>
      </c>
      <c r="F30" s="7">
        <f t="shared" si="0"/>
        <v>43620</v>
      </c>
      <c r="G30" s="9"/>
      <c r="H30" s="7" t="str">
        <f t="shared" si="1"/>
        <v/>
      </c>
      <c r="I30" s="10">
        <v>46627</v>
      </c>
      <c r="J30" s="6" t="s">
        <v>15</v>
      </c>
      <c r="K30" s="6" t="s">
        <v>332</v>
      </c>
      <c r="L30" s="6" t="s">
        <v>345</v>
      </c>
    </row>
    <row r="31" spans="1:12" ht="26" customHeight="1" x14ac:dyDescent="0.2">
      <c r="A31" s="6" t="s">
        <v>58</v>
      </c>
      <c r="B31" s="6" t="s">
        <v>59</v>
      </c>
      <c r="C31" s="5" t="s">
        <v>14</v>
      </c>
      <c r="D31" s="7">
        <v>33850</v>
      </c>
      <c r="E31" s="8">
        <v>0</v>
      </c>
      <c r="F31" s="7">
        <f t="shared" si="0"/>
        <v>33850</v>
      </c>
      <c r="G31" s="9"/>
      <c r="H31" s="7" t="str">
        <f t="shared" si="1"/>
        <v/>
      </c>
      <c r="I31" s="10">
        <v>46323</v>
      </c>
      <c r="J31" s="6" t="s">
        <v>15</v>
      </c>
      <c r="K31" s="6" t="s">
        <v>332</v>
      </c>
      <c r="L31" s="6" t="s">
        <v>345</v>
      </c>
    </row>
    <row r="32" spans="1:12" ht="26" customHeight="1" x14ac:dyDescent="0.2">
      <c r="A32" s="6" t="s">
        <v>313</v>
      </c>
      <c r="B32" s="6" t="s">
        <v>60</v>
      </c>
      <c r="C32" s="5" t="s">
        <v>18</v>
      </c>
      <c r="D32" s="7">
        <v>64195</v>
      </c>
      <c r="E32" s="8">
        <v>0</v>
      </c>
      <c r="F32" s="7">
        <f t="shared" si="0"/>
        <v>64195</v>
      </c>
      <c r="G32" s="9"/>
      <c r="H32" s="7" t="str">
        <f t="shared" si="1"/>
        <v/>
      </c>
      <c r="I32" s="10" t="s">
        <v>418</v>
      </c>
      <c r="J32" s="6" t="s">
        <v>15</v>
      </c>
      <c r="K32" s="6" t="s">
        <v>332</v>
      </c>
      <c r="L32" s="6" t="s">
        <v>346</v>
      </c>
    </row>
    <row r="33" spans="1:12" ht="26" customHeight="1" x14ac:dyDescent="0.2">
      <c r="A33" s="6" t="s">
        <v>63</v>
      </c>
      <c r="B33" s="6" t="s">
        <v>64</v>
      </c>
      <c r="C33" s="5" t="s">
        <v>14</v>
      </c>
      <c r="D33" s="7">
        <v>121220</v>
      </c>
      <c r="E33" s="8">
        <v>0</v>
      </c>
      <c r="F33" s="7">
        <f t="shared" si="0"/>
        <v>121220</v>
      </c>
      <c r="G33" s="9"/>
      <c r="H33" s="7" t="str">
        <f t="shared" si="1"/>
        <v/>
      </c>
      <c r="I33" s="10">
        <v>46201</v>
      </c>
      <c r="J33" s="6" t="s">
        <v>19</v>
      </c>
      <c r="K33" s="6" t="s">
        <v>65</v>
      </c>
      <c r="L33" s="6" t="s">
        <v>16</v>
      </c>
    </row>
    <row r="34" spans="1:12" ht="26" customHeight="1" x14ac:dyDescent="0.2">
      <c r="A34" s="6" t="s">
        <v>291</v>
      </c>
      <c r="B34" s="6" t="s">
        <v>292</v>
      </c>
      <c r="C34" s="5" t="s">
        <v>18</v>
      </c>
      <c r="D34" s="7">
        <v>84490</v>
      </c>
      <c r="E34" s="8">
        <v>0</v>
      </c>
      <c r="F34" s="7">
        <f t="shared" si="0"/>
        <v>84490</v>
      </c>
      <c r="G34" s="9"/>
      <c r="H34" s="7" t="str">
        <f t="shared" si="1"/>
        <v/>
      </c>
      <c r="I34" s="10" t="s">
        <v>418</v>
      </c>
      <c r="J34" s="6"/>
      <c r="K34" s="6"/>
      <c r="L34" s="6" t="s">
        <v>16</v>
      </c>
    </row>
    <row r="35" spans="1:12" ht="26" customHeight="1" x14ac:dyDescent="0.2">
      <c r="A35" s="6" t="s">
        <v>293</v>
      </c>
      <c r="B35" s="6" t="s">
        <v>294</v>
      </c>
      <c r="C35" s="5" t="s">
        <v>14</v>
      </c>
      <c r="D35" s="7">
        <v>100585</v>
      </c>
      <c r="E35" s="8">
        <v>0</v>
      </c>
      <c r="F35" s="7">
        <f t="shared" si="0"/>
        <v>100585</v>
      </c>
      <c r="G35" s="9"/>
      <c r="H35" s="7" t="str">
        <f t="shared" si="1"/>
        <v/>
      </c>
      <c r="I35" s="10">
        <v>46174</v>
      </c>
      <c r="J35" s="6"/>
      <c r="K35" s="6"/>
      <c r="L35" s="6" t="s">
        <v>16</v>
      </c>
    </row>
    <row r="36" spans="1:12" ht="26" customHeight="1" x14ac:dyDescent="0.2">
      <c r="A36" s="6" t="s">
        <v>295</v>
      </c>
      <c r="B36" s="6" t="s">
        <v>296</v>
      </c>
      <c r="C36" s="5" t="s">
        <v>18</v>
      </c>
      <c r="D36" s="7">
        <v>116665</v>
      </c>
      <c r="E36" s="8">
        <v>0</v>
      </c>
      <c r="F36" s="7">
        <f t="shared" ref="F36:F69" si="4">D36*(1+E36)</f>
        <v>116665</v>
      </c>
      <c r="G36" s="9"/>
      <c r="H36" s="7" t="str">
        <f t="shared" ref="H36:H69" si="5">IF(G36="","",G36*F36)</f>
        <v/>
      </c>
      <c r="I36" s="10">
        <v>46174</v>
      </c>
      <c r="J36" s="6"/>
      <c r="K36" s="6"/>
      <c r="L36" s="6" t="s">
        <v>16</v>
      </c>
    </row>
    <row r="37" spans="1:12" ht="26" customHeight="1" x14ac:dyDescent="0.2">
      <c r="A37" s="6" t="s">
        <v>297</v>
      </c>
      <c r="B37" s="6" t="s">
        <v>298</v>
      </c>
      <c r="C37" s="5" t="s">
        <v>14</v>
      </c>
      <c r="D37" s="7">
        <v>132770</v>
      </c>
      <c r="E37" s="8">
        <v>0</v>
      </c>
      <c r="F37" s="7">
        <f t="shared" si="4"/>
        <v>132770</v>
      </c>
      <c r="G37" s="9"/>
      <c r="H37" s="7" t="str">
        <f t="shared" si="5"/>
        <v/>
      </c>
      <c r="I37" s="10"/>
      <c r="J37" s="6"/>
      <c r="K37" s="6"/>
      <c r="L37" s="6" t="s">
        <v>16</v>
      </c>
    </row>
    <row r="38" spans="1:12" ht="26" customHeight="1" x14ac:dyDescent="0.2">
      <c r="A38" s="6" t="s">
        <v>299</v>
      </c>
      <c r="B38" s="6" t="s">
        <v>300</v>
      </c>
      <c r="C38" s="5" t="s">
        <v>14</v>
      </c>
      <c r="D38" s="7">
        <v>68395</v>
      </c>
      <c r="E38" s="8">
        <v>0</v>
      </c>
      <c r="F38" s="7">
        <f t="shared" si="4"/>
        <v>68395</v>
      </c>
      <c r="G38" s="9"/>
      <c r="H38" s="7" t="str">
        <f t="shared" si="5"/>
        <v/>
      </c>
      <c r="I38" s="10">
        <v>46174</v>
      </c>
      <c r="J38" s="6"/>
      <c r="K38" s="6"/>
      <c r="L38" s="6" t="s">
        <v>16</v>
      </c>
    </row>
    <row r="39" spans="1:12" ht="26" customHeight="1" x14ac:dyDescent="0.2">
      <c r="A39" s="21" t="s">
        <v>433</v>
      </c>
      <c r="B39" s="21" t="s">
        <v>434</v>
      </c>
      <c r="C39" s="5" t="s">
        <v>14</v>
      </c>
      <c r="D39" s="7">
        <v>20890</v>
      </c>
      <c r="E39" s="8">
        <v>0</v>
      </c>
      <c r="F39" s="7">
        <f t="shared" ref="F39" si="6">D39*(1+E39)</f>
        <v>20890</v>
      </c>
      <c r="G39" s="9"/>
      <c r="H39" s="7" t="str">
        <f>IF(G39="","",G39*F39)</f>
        <v/>
      </c>
      <c r="I39" s="10">
        <v>46478</v>
      </c>
      <c r="J39" s="21" t="s">
        <v>340</v>
      </c>
      <c r="K39" s="21" t="s">
        <v>340</v>
      </c>
      <c r="L39" s="6" t="s">
        <v>111</v>
      </c>
    </row>
    <row r="40" spans="1:12" ht="26" customHeight="1" x14ac:dyDescent="0.2">
      <c r="A40" s="6" t="s">
        <v>66</v>
      </c>
      <c r="B40" s="6" t="s">
        <v>67</v>
      </c>
      <c r="C40" s="5" t="s">
        <v>14</v>
      </c>
      <c r="D40" s="7">
        <v>21980</v>
      </c>
      <c r="E40" s="8">
        <v>0</v>
      </c>
      <c r="F40" s="7">
        <f t="shared" si="4"/>
        <v>21980</v>
      </c>
      <c r="G40" s="9"/>
      <c r="H40" s="7" t="str">
        <f t="shared" si="5"/>
        <v/>
      </c>
      <c r="I40" s="10">
        <v>46600</v>
      </c>
      <c r="J40" s="6" t="s">
        <v>333</v>
      </c>
      <c r="K40" s="6" t="s">
        <v>86</v>
      </c>
      <c r="L40" s="6" t="s">
        <v>61</v>
      </c>
    </row>
    <row r="41" spans="1:12" ht="26" customHeight="1" x14ac:dyDescent="0.2">
      <c r="A41" s="6" t="s">
        <v>68</v>
      </c>
      <c r="B41" s="6" t="s">
        <v>69</v>
      </c>
      <c r="C41" s="5" t="s">
        <v>14</v>
      </c>
      <c r="D41" s="7">
        <v>49420</v>
      </c>
      <c r="E41" s="8">
        <v>0</v>
      </c>
      <c r="F41" s="7">
        <f t="shared" si="4"/>
        <v>49420</v>
      </c>
      <c r="G41" s="9"/>
      <c r="H41" s="7" t="str">
        <f t="shared" si="5"/>
        <v/>
      </c>
      <c r="I41" s="10">
        <v>46478</v>
      </c>
      <c r="J41" s="6" t="s">
        <v>333</v>
      </c>
      <c r="K41" s="6" t="s">
        <v>86</v>
      </c>
      <c r="L41" s="6" t="s">
        <v>61</v>
      </c>
    </row>
    <row r="42" spans="1:12" ht="26" customHeight="1" x14ac:dyDescent="0.2">
      <c r="A42" s="6" t="s">
        <v>70</v>
      </c>
      <c r="B42" s="6" t="s">
        <v>71</v>
      </c>
      <c r="C42" s="5" t="s">
        <v>14</v>
      </c>
      <c r="D42" s="7">
        <v>60696</v>
      </c>
      <c r="E42" s="8">
        <v>0</v>
      </c>
      <c r="F42" s="7">
        <f t="shared" si="4"/>
        <v>60696</v>
      </c>
      <c r="G42" s="9"/>
      <c r="H42" s="7" t="str">
        <f t="shared" si="5"/>
        <v/>
      </c>
      <c r="I42" s="10">
        <v>46327</v>
      </c>
      <c r="J42" s="6" t="s">
        <v>333</v>
      </c>
      <c r="K42" s="17" t="s">
        <v>86</v>
      </c>
      <c r="L42" s="6" t="s">
        <v>61</v>
      </c>
    </row>
    <row r="43" spans="1:12" ht="26" customHeight="1" x14ac:dyDescent="0.2">
      <c r="A43" s="6" t="s">
        <v>72</v>
      </c>
      <c r="B43" s="6" t="s">
        <v>73</v>
      </c>
      <c r="C43" s="5" t="s">
        <v>14</v>
      </c>
      <c r="D43" s="7">
        <v>34085</v>
      </c>
      <c r="E43" s="8">
        <v>0</v>
      </c>
      <c r="F43" s="7">
        <f t="shared" si="4"/>
        <v>34085</v>
      </c>
      <c r="G43" s="9"/>
      <c r="H43" s="7" t="str">
        <f t="shared" si="5"/>
        <v/>
      </c>
      <c r="I43" s="10">
        <v>46784</v>
      </c>
      <c r="J43" s="6" t="s">
        <v>333</v>
      </c>
      <c r="K43" s="6" t="s">
        <v>86</v>
      </c>
      <c r="L43" s="6" t="s">
        <v>61</v>
      </c>
    </row>
    <row r="44" spans="1:12" ht="26" customHeight="1" x14ac:dyDescent="0.2">
      <c r="A44" s="6" t="s">
        <v>74</v>
      </c>
      <c r="B44" s="6" t="s">
        <v>75</v>
      </c>
      <c r="C44" s="5" t="s">
        <v>18</v>
      </c>
      <c r="D44" s="7">
        <v>57064</v>
      </c>
      <c r="E44" s="8">
        <v>0</v>
      </c>
      <c r="F44" s="7">
        <f t="shared" si="4"/>
        <v>57064</v>
      </c>
      <c r="G44" s="9"/>
      <c r="H44" s="7" t="str">
        <f t="shared" si="5"/>
        <v/>
      </c>
      <c r="I44" s="10" t="s">
        <v>418</v>
      </c>
      <c r="J44" s="6" t="s">
        <v>36</v>
      </c>
      <c r="K44" s="6" t="s">
        <v>329</v>
      </c>
      <c r="L44" s="6" t="s">
        <v>62</v>
      </c>
    </row>
    <row r="45" spans="1:12" ht="26" customHeight="1" x14ac:dyDescent="0.2">
      <c r="A45" s="6" t="s">
        <v>80</v>
      </c>
      <c r="B45" s="6" t="s">
        <v>81</v>
      </c>
      <c r="C45" s="5" t="s">
        <v>14</v>
      </c>
      <c r="D45" s="7">
        <v>12565</v>
      </c>
      <c r="E45" s="8">
        <v>0</v>
      </c>
      <c r="F45" s="7">
        <f t="shared" si="4"/>
        <v>12565</v>
      </c>
      <c r="G45" s="9"/>
      <c r="H45" s="7" t="str">
        <f t="shared" si="5"/>
        <v/>
      </c>
      <c r="I45" s="10">
        <v>46661</v>
      </c>
      <c r="J45" s="6"/>
      <c r="K45" s="6" t="s">
        <v>322</v>
      </c>
      <c r="L45" s="6" t="s">
        <v>79</v>
      </c>
    </row>
    <row r="46" spans="1:12" ht="26" customHeight="1" x14ac:dyDescent="0.2">
      <c r="A46" s="6" t="s">
        <v>76</v>
      </c>
      <c r="B46" s="6" t="s">
        <v>77</v>
      </c>
      <c r="C46" s="5" t="s">
        <v>18</v>
      </c>
      <c r="D46" s="7">
        <v>18560</v>
      </c>
      <c r="E46" s="8">
        <v>0</v>
      </c>
      <c r="F46" s="7">
        <f t="shared" si="4"/>
        <v>18560</v>
      </c>
      <c r="G46" s="9"/>
      <c r="H46" s="7" t="str">
        <f t="shared" si="5"/>
        <v/>
      </c>
      <c r="I46" s="10">
        <v>47078</v>
      </c>
      <c r="J46" s="6"/>
      <c r="K46" s="6" t="s">
        <v>322</v>
      </c>
      <c r="L46" s="6" t="s">
        <v>79</v>
      </c>
    </row>
    <row r="47" spans="1:12" ht="26" customHeight="1" x14ac:dyDescent="0.2">
      <c r="A47" s="6" t="s">
        <v>301</v>
      </c>
      <c r="B47" s="6" t="s">
        <v>302</v>
      </c>
      <c r="C47" s="5" t="s">
        <v>33</v>
      </c>
      <c r="D47" s="7">
        <v>20900</v>
      </c>
      <c r="E47" s="8">
        <v>0</v>
      </c>
      <c r="F47" s="7">
        <f t="shared" si="4"/>
        <v>20900</v>
      </c>
      <c r="G47" s="9"/>
      <c r="H47" s="7" t="str">
        <f t="shared" si="5"/>
        <v/>
      </c>
      <c r="I47" s="10">
        <v>46722</v>
      </c>
      <c r="J47" s="6" t="s">
        <v>78</v>
      </c>
      <c r="K47" s="6" t="s">
        <v>322</v>
      </c>
      <c r="L47" s="6" t="s">
        <v>26</v>
      </c>
    </row>
    <row r="48" spans="1:12" ht="26" customHeight="1" x14ac:dyDescent="0.2">
      <c r="A48" s="6" t="s">
        <v>82</v>
      </c>
      <c r="B48" s="6" t="s">
        <v>83</v>
      </c>
      <c r="C48" s="5" t="s">
        <v>18</v>
      </c>
      <c r="D48" s="7">
        <v>39585</v>
      </c>
      <c r="E48" s="8">
        <v>0</v>
      </c>
      <c r="F48" s="7">
        <f t="shared" si="4"/>
        <v>39585</v>
      </c>
      <c r="G48" s="9"/>
      <c r="H48" s="7" t="str">
        <f t="shared" si="5"/>
        <v/>
      </c>
      <c r="I48" s="10" t="s">
        <v>418</v>
      </c>
      <c r="J48" s="6" t="s">
        <v>78</v>
      </c>
      <c r="K48" s="6" t="s">
        <v>322</v>
      </c>
      <c r="L48" s="6" t="s">
        <v>26</v>
      </c>
    </row>
    <row r="49" spans="1:12" ht="26" customHeight="1" x14ac:dyDescent="0.2">
      <c r="A49" s="6" t="s">
        <v>84</v>
      </c>
      <c r="B49" s="6" t="s">
        <v>85</v>
      </c>
      <c r="C49" s="5" t="s">
        <v>14</v>
      </c>
      <c r="D49" s="7">
        <v>70440</v>
      </c>
      <c r="E49" s="8">
        <v>0</v>
      </c>
      <c r="F49" s="7">
        <f t="shared" si="4"/>
        <v>70440</v>
      </c>
      <c r="G49" s="9"/>
      <c r="H49" s="7" t="str">
        <f t="shared" si="5"/>
        <v/>
      </c>
      <c r="I49" s="10">
        <v>46753</v>
      </c>
      <c r="J49" s="6" t="s">
        <v>333</v>
      </c>
      <c r="K49" s="6" t="s">
        <v>86</v>
      </c>
      <c r="L49" s="6" t="s">
        <v>87</v>
      </c>
    </row>
    <row r="50" spans="1:12" ht="26" customHeight="1" x14ac:dyDescent="0.2">
      <c r="A50" s="6" t="s">
        <v>88</v>
      </c>
      <c r="B50" s="6" t="s">
        <v>89</v>
      </c>
      <c r="C50" s="5" t="s">
        <v>14</v>
      </c>
      <c r="D50" s="7">
        <v>37800</v>
      </c>
      <c r="E50" s="8">
        <v>0</v>
      </c>
      <c r="F50" s="7">
        <f t="shared" si="4"/>
        <v>37800</v>
      </c>
      <c r="G50" s="9"/>
      <c r="H50" s="7" t="str">
        <f t="shared" si="5"/>
        <v/>
      </c>
      <c r="I50" s="10">
        <v>46753</v>
      </c>
      <c r="J50" s="6" t="s">
        <v>333</v>
      </c>
      <c r="K50" s="6" t="s">
        <v>86</v>
      </c>
      <c r="L50" s="6" t="s">
        <v>87</v>
      </c>
    </row>
    <row r="51" spans="1:12" ht="26" customHeight="1" x14ac:dyDescent="0.2">
      <c r="A51" s="6" t="s">
        <v>90</v>
      </c>
      <c r="B51" s="6" t="s">
        <v>91</v>
      </c>
      <c r="C51" s="5" t="s">
        <v>14</v>
      </c>
      <c r="D51" s="7">
        <v>35430</v>
      </c>
      <c r="E51" s="8">
        <v>0</v>
      </c>
      <c r="F51" s="7">
        <f t="shared" si="4"/>
        <v>35430</v>
      </c>
      <c r="G51" s="9"/>
      <c r="H51" s="7" t="str">
        <f t="shared" si="5"/>
        <v/>
      </c>
      <c r="I51" s="10">
        <v>46447</v>
      </c>
      <c r="J51" s="6" t="s">
        <v>19</v>
      </c>
      <c r="K51" s="6" t="s">
        <v>322</v>
      </c>
      <c r="L51" s="6" t="s">
        <v>341</v>
      </c>
    </row>
    <row r="52" spans="1:12" ht="26" customHeight="1" x14ac:dyDescent="0.2">
      <c r="A52" s="6" t="s">
        <v>92</v>
      </c>
      <c r="B52" s="6" t="s">
        <v>93</v>
      </c>
      <c r="C52" s="5" t="s">
        <v>33</v>
      </c>
      <c r="D52" s="7">
        <v>33805</v>
      </c>
      <c r="E52" s="8">
        <v>0.14000000000000001</v>
      </c>
      <c r="F52" s="7">
        <f t="shared" si="4"/>
        <v>38537.700000000004</v>
      </c>
      <c r="G52" s="9"/>
      <c r="H52" s="7" t="str">
        <f t="shared" si="5"/>
        <v/>
      </c>
      <c r="I52" s="10" t="s">
        <v>418</v>
      </c>
      <c r="J52" s="6" t="s">
        <v>94</v>
      </c>
      <c r="K52" s="6" t="s">
        <v>95</v>
      </c>
      <c r="L52" s="6" t="s">
        <v>96</v>
      </c>
    </row>
    <row r="53" spans="1:12" ht="26" customHeight="1" x14ac:dyDescent="0.2">
      <c r="A53" s="6" t="s">
        <v>97</v>
      </c>
      <c r="B53" s="6" t="s">
        <v>98</v>
      </c>
      <c r="C53" s="5" t="s">
        <v>33</v>
      </c>
      <c r="D53" s="7">
        <v>7320</v>
      </c>
      <c r="E53" s="8">
        <v>0.14000000000000001</v>
      </c>
      <c r="F53" s="7">
        <f t="shared" si="4"/>
        <v>8344.8000000000011</v>
      </c>
      <c r="G53" s="9"/>
      <c r="H53" s="7" t="str">
        <f t="shared" si="5"/>
        <v/>
      </c>
      <c r="I53" s="10">
        <v>46201</v>
      </c>
      <c r="J53" s="6" t="s">
        <v>94</v>
      </c>
      <c r="K53" s="6" t="s">
        <v>95</v>
      </c>
      <c r="L53" s="6" t="s">
        <v>96</v>
      </c>
    </row>
    <row r="54" spans="1:12" ht="26" customHeight="1" x14ac:dyDescent="0.2">
      <c r="A54" s="6" t="s">
        <v>99</v>
      </c>
      <c r="B54" s="6" t="s">
        <v>100</v>
      </c>
      <c r="C54" s="5" t="s">
        <v>33</v>
      </c>
      <c r="D54" s="7">
        <v>33805</v>
      </c>
      <c r="E54" s="8">
        <v>0.14000000000000001</v>
      </c>
      <c r="F54" s="7">
        <f t="shared" si="4"/>
        <v>38537.700000000004</v>
      </c>
      <c r="G54" s="9"/>
      <c r="H54" s="7" t="str">
        <f t="shared" si="5"/>
        <v/>
      </c>
      <c r="I54" s="10" t="s">
        <v>418</v>
      </c>
      <c r="J54" s="6" t="s">
        <v>94</v>
      </c>
      <c r="K54" s="6" t="s">
        <v>95</v>
      </c>
      <c r="L54" s="6" t="s">
        <v>96</v>
      </c>
    </row>
    <row r="55" spans="1:12" ht="26" customHeight="1" x14ac:dyDescent="0.2">
      <c r="A55" s="6" t="s">
        <v>378</v>
      </c>
      <c r="B55" s="6" t="s">
        <v>379</v>
      </c>
      <c r="C55" s="5" t="s">
        <v>18</v>
      </c>
      <c r="D55" s="7">
        <v>7320</v>
      </c>
      <c r="E55" s="8">
        <v>0.14000000000000001</v>
      </c>
      <c r="F55" s="7">
        <f t="shared" si="4"/>
        <v>8344.8000000000011</v>
      </c>
      <c r="G55" s="9"/>
      <c r="H55" s="7" t="str">
        <f t="shared" si="5"/>
        <v/>
      </c>
      <c r="I55" s="10" t="s">
        <v>418</v>
      </c>
      <c r="J55" s="6" t="s">
        <v>94</v>
      </c>
      <c r="K55" s="6" t="s">
        <v>95</v>
      </c>
      <c r="L55" s="6" t="s">
        <v>96</v>
      </c>
    </row>
    <row r="56" spans="1:12" ht="26" customHeight="1" x14ac:dyDescent="0.2">
      <c r="A56" s="6" t="s">
        <v>101</v>
      </c>
      <c r="B56" s="6" t="s">
        <v>102</v>
      </c>
      <c r="C56" s="5" t="s">
        <v>33</v>
      </c>
      <c r="D56" s="7">
        <v>33555</v>
      </c>
      <c r="E56" s="8">
        <v>0.14000000000000001</v>
      </c>
      <c r="F56" s="7">
        <f t="shared" si="4"/>
        <v>38252.700000000004</v>
      </c>
      <c r="G56" s="9"/>
      <c r="H56" s="7" t="str">
        <f t="shared" si="5"/>
        <v/>
      </c>
      <c r="I56" s="10">
        <v>46201</v>
      </c>
      <c r="J56" s="6" t="s">
        <v>94</v>
      </c>
      <c r="K56" s="6" t="s">
        <v>95</v>
      </c>
      <c r="L56" s="6" t="s">
        <v>96</v>
      </c>
    </row>
    <row r="57" spans="1:12" ht="26" customHeight="1" x14ac:dyDescent="0.2">
      <c r="A57" s="21" t="s">
        <v>354</v>
      </c>
      <c r="B57" s="21" t="s">
        <v>353</v>
      </c>
      <c r="C57" s="5" t="s">
        <v>14</v>
      </c>
      <c r="D57" s="7">
        <v>36610</v>
      </c>
      <c r="E57" s="8">
        <v>0.14000000000000001</v>
      </c>
      <c r="F57" s="7">
        <f t="shared" si="4"/>
        <v>41735.4</v>
      </c>
      <c r="G57" s="9"/>
      <c r="H57" s="7" t="str">
        <f t="shared" si="5"/>
        <v/>
      </c>
      <c r="I57" s="10">
        <v>46174</v>
      </c>
      <c r="J57" s="6" t="s">
        <v>94</v>
      </c>
      <c r="K57" s="6" t="s">
        <v>95</v>
      </c>
      <c r="L57" s="6" t="s">
        <v>96</v>
      </c>
    </row>
    <row r="58" spans="1:12" ht="26" customHeight="1" x14ac:dyDescent="0.2">
      <c r="A58" s="6" t="s">
        <v>103</v>
      </c>
      <c r="B58" s="6" t="s">
        <v>104</v>
      </c>
      <c r="C58" s="5" t="s">
        <v>33</v>
      </c>
      <c r="D58" s="7">
        <v>36610</v>
      </c>
      <c r="E58" s="8">
        <v>0.14000000000000001</v>
      </c>
      <c r="F58" s="7">
        <f t="shared" si="4"/>
        <v>41735.4</v>
      </c>
      <c r="G58" s="9"/>
      <c r="H58" s="7" t="str">
        <f t="shared" si="5"/>
        <v/>
      </c>
      <c r="I58" s="10"/>
      <c r="J58" s="6" t="s">
        <v>94</v>
      </c>
      <c r="K58" s="6" t="s">
        <v>95</v>
      </c>
      <c r="L58" s="21" t="s">
        <v>96</v>
      </c>
    </row>
    <row r="59" spans="1:12" ht="26" customHeight="1" x14ac:dyDescent="0.2">
      <c r="A59" s="6" t="s">
        <v>105</v>
      </c>
      <c r="B59" s="6" t="s">
        <v>106</v>
      </c>
      <c r="C59" s="5" t="s">
        <v>33</v>
      </c>
      <c r="D59" s="7">
        <v>7390</v>
      </c>
      <c r="E59" s="8">
        <v>0.14000000000000001</v>
      </c>
      <c r="F59" s="7">
        <f t="shared" si="4"/>
        <v>8424.6</v>
      </c>
      <c r="G59" s="9"/>
      <c r="H59" s="7" t="str">
        <f t="shared" si="5"/>
        <v/>
      </c>
      <c r="I59" s="10">
        <v>46109</v>
      </c>
      <c r="J59" s="6" t="s">
        <v>94</v>
      </c>
      <c r="K59" s="6" t="s">
        <v>95</v>
      </c>
      <c r="L59" s="6" t="s">
        <v>96</v>
      </c>
    </row>
    <row r="60" spans="1:12" ht="26" customHeight="1" x14ac:dyDescent="0.2">
      <c r="A60" s="6" t="s">
        <v>107</v>
      </c>
      <c r="B60" s="6" t="s">
        <v>108</v>
      </c>
      <c r="C60" s="5" t="s">
        <v>33</v>
      </c>
      <c r="D60" s="7">
        <v>33805</v>
      </c>
      <c r="E60" s="8">
        <v>0.14000000000000001</v>
      </c>
      <c r="F60" s="7">
        <f t="shared" si="4"/>
        <v>38537.700000000004</v>
      </c>
      <c r="G60" s="9"/>
      <c r="H60" s="7" t="str">
        <f t="shared" si="5"/>
        <v/>
      </c>
      <c r="I60" s="10">
        <v>46201</v>
      </c>
      <c r="J60" s="6" t="s">
        <v>94</v>
      </c>
      <c r="K60" s="6" t="s">
        <v>95</v>
      </c>
      <c r="L60" s="6" t="s">
        <v>342</v>
      </c>
    </row>
    <row r="61" spans="1:12" ht="26" customHeight="1" x14ac:dyDescent="0.2">
      <c r="A61" s="6" t="s">
        <v>405</v>
      </c>
      <c r="B61" s="21" t="s">
        <v>410</v>
      </c>
      <c r="C61" s="5" t="s">
        <v>33</v>
      </c>
      <c r="D61" s="7">
        <v>17570</v>
      </c>
      <c r="E61" s="8">
        <v>0.14000000000000001</v>
      </c>
      <c r="F61" s="7">
        <f t="shared" si="4"/>
        <v>20029.800000000003</v>
      </c>
      <c r="G61" s="9"/>
      <c r="H61" s="7" t="str">
        <f t="shared" si="5"/>
        <v/>
      </c>
      <c r="I61" s="10" t="s">
        <v>418</v>
      </c>
      <c r="J61" s="6" t="s">
        <v>94</v>
      </c>
      <c r="K61" s="21" t="s">
        <v>409</v>
      </c>
      <c r="L61" s="6" t="s">
        <v>342</v>
      </c>
    </row>
    <row r="62" spans="1:12" ht="26" customHeight="1" x14ac:dyDescent="0.2">
      <c r="A62" s="6" t="s">
        <v>407</v>
      </c>
      <c r="B62" s="21" t="s">
        <v>412</v>
      </c>
      <c r="C62" s="5" t="s">
        <v>33</v>
      </c>
      <c r="D62" s="7">
        <v>17570</v>
      </c>
      <c r="E62" s="8">
        <v>0.14000000000000001</v>
      </c>
      <c r="F62" s="7">
        <f t="shared" si="4"/>
        <v>20029.800000000003</v>
      </c>
      <c r="G62" s="9"/>
      <c r="H62" s="7" t="str">
        <f t="shared" si="5"/>
        <v/>
      </c>
      <c r="I62" s="10" t="s">
        <v>418</v>
      </c>
      <c r="J62" s="6" t="s">
        <v>94</v>
      </c>
      <c r="K62" s="21" t="s">
        <v>409</v>
      </c>
      <c r="L62" s="6" t="s">
        <v>342</v>
      </c>
    </row>
    <row r="63" spans="1:12" ht="26" customHeight="1" x14ac:dyDescent="0.2">
      <c r="A63" s="6" t="s">
        <v>408</v>
      </c>
      <c r="B63" s="21" t="s">
        <v>413</v>
      </c>
      <c r="C63" s="5" t="s">
        <v>33</v>
      </c>
      <c r="D63" s="7">
        <v>17570</v>
      </c>
      <c r="E63" s="8">
        <v>0.14000000000000001</v>
      </c>
      <c r="F63" s="7">
        <f t="shared" si="4"/>
        <v>20029.800000000003</v>
      </c>
      <c r="G63" s="9"/>
      <c r="H63" s="7" t="str">
        <f t="shared" si="5"/>
        <v/>
      </c>
      <c r="I63" s="10" t="s">
        <v>418</v>
      </c>
      <c r="J63" s="6" t="s">
        <v>94</v>
      </c>
      <c r="K63" s="21" t="s">
        <v>409</v>
      </c>
      <c r="L63" s="6" t="s">
        <v>342</v>
      </c>
    </row>
    <row r="64" spans="1:12" ht="26" customHeight="1" x14ac:dyDescent="0.2">
      <c r="A64" s="6" t="s">
        <v>406</v>
      </c>
      <c r="B64" s="21" t="s">
        <v>411</v>
      </c>
      <c r="C64" s="5" t="s">
        <v>33</v>
      </c>
      <c r="D64" s="7">
        <v>16940</v>
      </c>
      <c r="E64" s="8">
        <v>0.14000000000000001</v>
      </c>
      <c r="F64" s="7">
        <f t="shared" si="4"/>
        <v>19311.600000000002</v>
      </c>
      <c r="G64" s="9"/>
      <c r="H64" s="7" t="str">
        <f t="shared" si="5"/>
        <v/>
      </c>
      <c r="I64" s="10" t="s">
        <v>418</v>
      </c>
      <c r="J64" s="6" t="s">
        <v>94</v>
      </c>
      <c r="K64" s="21" t="s">
        <v>409</v>
      </c>
      <c r="L64" s="6" t="s">
        <v>342</v>
      </c>
    </row>
    <row r="65" spans="1:12" ht="26" customHeight="1" x14ac:dyDescent="0.2">
      <c r="A65" s="6" t="s">
        <v>109</v>
      </c>
      <c r="B65" s="6" t="s">
        <v>110</v>
      </c>
      <c r="C65" s="5" t="s">
        <v>14</v>
      </c>
      <c r="D65" s="7">
        <v>16520</v>
      </c>
      <c r="E65" s="8">
        <v>0</v>
      </c>
      <c r="F65" s="7">
        <f t="shared" si="4"/>
        <v>16520</v>
      </c>
      <c r="G65" s="9"/>
      <c r="H65" s="7" t="str">
        <f t="shared" si="5"/>
        <v/>
      </c>
      <c r="I65" s="10">
        <v>46327</v>
      </c>
      <c r="J65" s="6" t="s">
        <v>333</v>
      </c>
      <c r="K65" s="6" t="s">
        <v>86</v>
      </c>
      <c r="L65" s="6" t="s">
        <v>348</v>
      </c>
    </row>
    <row r="66" spans="1:12" ht="26" customHeight="1" x14ac:dyDescent="0.2">
      <c r="A66" s="6" t="s">
        <v>112</v>
      </c>
      <c r="B66" s="6" t="s">
        <v>113</v>
      </c>
      <c r="C66" s="5" t="s">
        <v>14</v>
      </c>
      <c r="D66" s="7">
        <v>89710</v>
      </c>
      <c r="E66" s="8">
        <v>0</v>
      </c>
      <c r="F66" s="7">
        <f t="shared" si="4"/>
        <v>89710</v>
      </c>
      <c r="G66" s="9"/>
      <c r="H66" s="7" t="str">
        <f t="shared" si="5"/>
        <v/>
      </c>
      <c r="I66" s="10">
        <v>47515</v>
      </c>
      <c r="J66" s="6" t="s">
        <v>333</v>
      </c>
      <c r="K66" s="6" t="s">
        <v>86</v>
      </c>
      <c r="L66" s="6" t="s">
        <v>348</v>
      </c>
    </row>
    <row r="67" spans="1:12" ht="26" customHeight="1" x14ac:dyDescent="0.2">
      <c r="A67" s="6" t="s">
        <v>114</v>
      </c>
      <c r="B67" s="6" t="s">
        <v>115</v>
      </c>
      <c r="C67" s="5" t="s">
        <v>14</v>
      </c>
      <c r="D67" s="7">
        <v>135190</v>
      </c>
      <c r="E67" s="8">
        <v>0</v>
      </c>
      <c r="F67" s="7">
        <f t="shared" si="4"/>
        <v>135190</v>
      </c>
      <c r="G67" s="9"/>
      <c r="H67" s="7" t="str">
        <f t="shared" si="5"/>
        <v/>
      </c>
      <c r="I67" s="10">
        <v>47484</v>
      </c>
      <c r="J67" s="6" t="s">
        <v>333</v>
      </c>
      <c r="K67" s="6" t="s">
        <v>86</v>
      </c>
      <c r="L67" s="6" t="s">
        <v>348</v>
      </c>
    </row>
    <row r="68" spans="1:12" ht="26" customHeight="1" x14ac:dyDescent="0.2">
      <c r="A68" s="21" t="s">
        <v>435</v>
      </c>
      <c r="B68" s="21" t="s">
        <v>436</v>
      </c>
      <c r="C68" s="5" t="s">
        <v>14</v>
      </c>
      <c r="D68" s="7">
        <v>18730</v>
      </c>
      <c r="E68" s="8">
        <v>0.14000000000000001</v>
      </c>
      <c r="F68" s="7">
        <f t="shared" si="4"/>
        <v>21352.2</v>
      </c>
      <c r="G68" s="9"/>
      <c r="H68" s="7" t="str">
        <f t="shared" si="5"/>
        <v/>
      </c>
      <c r="I68" s="10"/>
      <c r="J68" s="6" t="s">
        <v>94</v>
      </c>
      <c r="K68" s="6"/>
      <c r="L68" s="6" t="s">
        <v>118</v>
      </c>
    </row>
    <row r="69" spans="1:12" ht="26" customHeight="1" x14ac:dyDescent="0.2">
      <c r="A69" s="4" t="s">
        <v>116</v>
      </c>
      <c r="B69" s="4" t="s">
        <v>117</v>
      </c>
      <c r="C69" s="5" t="s">
        <v>18</v>
      </c>
      <c r="D69" s="7">
        <v>18730</v>
      </c>
      <c r="E69" s="8">
        <v>0.14000000000000001</v>
      </c>
      <c r="F69" s="7">
        <f t="shared" si="4"/>
        <v>21352.2</v>
      </c>
      <c r="G69" s="9"/>
      <c r="H69" s="7" t="str">
        <f t="shared" si="5"/>
        <v/>
      </c>
      <c r="I69" s="10">
        <v>46553</v>
      </c>
      <c r="J69" s="6" t="s">
        <v>94</v>
      </c>
      <c r="K69" s="6"/>
      <c r="L69" s="6" t="s">
        <v>118</v>
      </c>
    </row>
    <row r="70" spans="1:12" ht="26" customHeight="1" x14ac:dyDescent="0.2">
      <c r="A70" s="4" t="s">
        <v>355</v>
      </c>
      <c r="B70" s="4" t="s">
        <v>356</v>
      </c>
      <c r="C70" s="5" t="s">
        <v>33</v>
      </c>
      <c r="D70" s="7">
        <v>14045</v>
      </c>
      <c r="E70" s="8">
        <v>0.14000000000000001</v>
      </c>
      <c r="F70" s="7">
        <f t="shared" ref="F70:F101" si="7">D70*(1+E70)</f>
        <v>16011.300000000001</v>
      </c>
      <c r="G70" s="9"/>
      <c r="H70" s="7" t="str">
        <f t="shared" ref="H70:H101" si="8">IF(G70="","",G70*F70)</f>
        <v/>
      </c>
      <c r="I70" s="10">
        <v>46170</v>
      </c>
      <c r="J70" s="6" t="s">
        <v>94</v>
      </c>
      <c r="K70" s="6"/>
      <c r="L70" s="6" t="s">
        <v>118</v>
      </c>
    </row>
    <row r="71" spans="1:12" ht="26" customHeight="1" x14ac:dyDescent="0.2">
      <c r="A71" s="4" t="s">
        <v>357</v>
      </c>
      <c r="B71" s="4" t="s">
        <v>358</v>
      </c>
      <c r="C71" s="5" t="s">
        <v>33</v>
      </c>
      <c r="D71" s="7">
        <v>14420</v>
      </c>
      <c r="E71" s="8">
        <v>0.14000000000000001</v>
      </c>
      <c r="F71" s="7">
        <f t="shared" si="7"/>
        <v>16438.800000000003</v>
      </c>
      <c r="G71" s="9"/>
      <c r="H71" s="7" t="str">
        <f t="shared" si="8"/>
        <v/>
      </c>
      <c r="I71" s="10">
        <v>46143</v>
      </c>
      <c r="J71" s="6" t="s">
        <v>94</v>
      </c>
      <c r="K71" s="6"/>
      <c r="L71" s="6" t="s">
        <v>118</v>
      </c>
    </row>
    <row r="72" spans="1:12" ht="26" customHeight="1" x14ac:dyDescent="0.2">
      <c r="A72" s="4" t="s">
        <v>119</v>
      </c>
      <c r="B72" s="4" t="s">
        <v>120</v>
      </c>
      <c r="C72" s="5" t="s">
        <v>33</v>
      </c>
      <c r="D72" s="7">
        <v>50915</v>
      </c>
      <c r="E72" s="8">
        <v>0.14000000000000001</v>
      </c>
      <c r="F72" s="7">
        <f t="shared" si="7"/>
        <v>58043.100000000006</v>
      </c>
      <c r="G72" s="9"/>
      <c r="H72" s="7" t="str">
        <f t="shared" si="8"/>
        <v/>
      </c>
      <c r="I72" s="10">
        <v>46201</v>
      </c>
      <c r="J72" s="6" t="s">
        <v>94</v>
      </c>
      <c r="K72" s="6"/>
      <c r="L72" s="6" t="s">
        <v>118</v>
      </c>
    </row>
    <row r="73" spans="1:12" ht="26" customHeight="1" x14ac:dyDescent="0.2">
      <c r="A73" s="4" t="s">
        <v>121</v>
      </c>
      <c r="B73" s="4" t="s">
        <v>122</v>
      </c>
      <c r="C73" s="5" t="s">
        <v>33</v>
      </c>
      <c r="D73" s="7">
        <v>20630</v>
      </c>
      <c r="E73" s="8">
        <v>0.14000000000000001</v>
      </c>
      <c r="F73" s="7">
        <f t="shared" si="7"/>
        <v>23518.200000000004</v>
      </c>
      <c r="G73" s="9"/>
      <c r="H73" s="7" t="str">
        <f t="shared" si="8"/>
        <v/>
      </c>
      <c r="I73" s="10">
        <v>46174</v>
      </c>
      <c r="J73" s="6" t="s">
        <v>94</v>
      </c>
      <c r="K73" s="6"/>
      <c r="L73" s="6" t="s">
        <v>118</v>
      </c>
    </row>
    <row r="74" spans="1:12" ht="26" customHeight="1" x14ac:dyDescent="0.2">
      <c r="A74" s="4" t="s">
        <v>123</v>
      </c>
      <c r="B74" s="4" t="s">
        <v>124</v>
      </c>
      <c r="C74" s="5" t="s">
        <v>33</v>
      </c>
      <c r="D74" s="7">
        <v>14045</v>
      </c>
      <c r="E74" s="8">
        <v>0.14000000000000001</v>
      </c>
      <c r="F74" s="7">
        <f t="shared" si="7"/>
        <v>16011.300000000001</v>
      </c>
      <c r="G74" s="9"/>
      <c r="H74" s="7" t="str">
        <f t="shared" si="8"/>
        <v/>
      </c>
      <c r="I74" s="10" t="s">
        <v>418</v>
      </c>
      <c r="J74" s="6" t="s">
        <v>94</v>
      </c>
      <c r="K74" s="6"/>
      <c r="L74" s="6" t="s">
        <v>118</v>
      </c>
    </row>
    <row r="75" spans="1:12" ht="26" customHeight="1" x14ac:dyDescent="0.2">
      <c r="A75" s="4" t="s">
        <v>125</v>
      </c>
      <c r="B75" s="4" t="s">
        <v>126</v>
      </c>
      <c r="C75" s="5" t="s">
        <v>33</v>
      </c>
      <c r="D75" s="7">
        <v>14045</v>
      </c>
      <c r="E75" s="8">
        <v>0.14000000000000001</v>
      </c>
      <c r="F75" s="7">
        <f t="shared" si="7"/>
        <v>16011.300000000001</v>
      </c>
      <c r="G75" s="9"/>
      <c r="H75" s="7" t="str">
        <f t="shared" si="8"/>
        <v/>
      </c>
      <c r="I75" s="10" t="s">
        <v>418</v>
      </c>
      <c r="J75" s="6" t="s">
        <v>94</v>
      </c>
      <c r="K75" s="6"/>
      <c r="L75" s="6" t="s">
        <v>118</v>
      </c>
    </row>
    <row r="76" spans="1:12" ht="26" customHeight="1" x14ac:dyDescent="0.2">
      <c r="A76" s="4" t="s">
        <v>127</v>
      </c>
      <c r="B76" s="4" t="s">
        <v>128</v>
      </c>
      <c r="C76" s="5" t="s">
        <v>33</v>
      </c>
      <c r="D76" s="7">
        <v>14420</v>
      </c>
      <c r="E76" s="8">
        <v>0.14000000000000001</v>
      </c>
      <c r="F76" s="7">
        <f t="shared" si="7"/>
        <v>16438.800000000003</v>
      </c>
      <c r="G76" s="9"/>
      <c r="H76" s="7" t="str">
        <f t="shared" si="8"/>
        <v/>
      </c>
      <c r="I76" s="10">
        <v>46170</v>
      </c>
      <c r="J76" s="6" t="s">
        <v>94</v>
      </c>
      <c r="K76" s="6"/>
      <c r="L76" s="6" t="s">
        <v>118</v>
      </c>
    </row>
    <row r="77" spans="1:12" ht="26" customHeight="1" x14ac:dyDescent="0.2">
      <c r="A77" s="4" t="s">
        <v>129</v>
      </c>
      <c r="B77" s="4" t="s">
        <v>130</v>
      </c>
      <c r="C77" s="5" t="s">
        <v>18</v>
      </c>
      <c r="D77" s="7">
        <v>14045</v>
      </c>
      <c r="E77" s="8">
        <v>0.14000000000000001</v>
      </c>
      <c r="F77" s="7">
        <f t="shared" si="7"/>
        <v>16011.300000000001</v>
      </c>
      <c r="G77" s="9"/>
      <c r="H77" s="7" t="str">
        <f t="shared" si="8"/>
        <v/>
      </c>
      <c r="I77" s="10" t="s">
        <v>418</v>
      </c>
      <c r="J77" s="6" t="s">
        <v>94</v>
      </c>
      <c r="K77" s="6"/>
      <c r="L77" s="6" t="s">
        <v>118</v>
      </c>
    </row>
    <row r="78" spans="1:12" ht="26" customHeight="1" x14ac:dyDescent="0.2">
      <c r="A78" s="4" t="s">
        <v>131</v>
      </c>
      <c r="B78" s="4" t="s">
        <v>132</v>
      </c>
      <c r="C78" s="5" t="s">
        <v>33</v>
      </c>
      <c r="D78" s="7">
        <v>14420</v>
      </c>
      <c r="E78" s="8">
        <v>0.14000000000000001</v>
      </c>
      <c r="F78" s="7">
        <f t="shared" si="7"/>
        <v>16438.800000000003</v>
      </c>
      <c r="G78" s="9"/>
      <c r="H78" s="7" t="str">
        <f t="shared" si="8"/>
        <v/>
      </c>
      <c r="I78" s="10">
        <v>46109</v>
      </c>
      <c r="J78" s="6" t="s">
        <v>94</v>
      </c>
      <c r="K78" s="6"/>
      <c r="L78" s="6" t="s">
        <v>118</v>
      </c>
    </row>
    <row r="79" spans="1:12" ht="26" customHeight="1" x14ac:dyDescent="0.2">
      <c r="A79" s="4" t="s">
        <v>403</v>
      </c>
      <c r="B79" s="4" t="s">
        <v>404</v>
      </c>
      <c r="C79" s="5" t="s">
        <v>18</v>
      </c>
      <c r="D79" s="7">
        <v>1400</v>
      </c>
      <c r="E79" s="8">
        <v>0.14000000000000001</v>
      </c>
      <c r="F79" s="7">
        <f t="shared" si="7"/>
        <v>1596.0000000000002</v>
      </c>
      <c r="G79" s="9"/>
      <c r="H79" s="7" t="str">
        <f t="shared" si="8"/>
        <v/>
      </c>
      <c r="I79" s="10">
        <v>46542</v>
      </c>
      <c r="J79" s="6" t="s">
        <v>94</v>
      </c>
      <c r="K79" s="6"/>
      <c r="L79" s="6" t="s">
        <v>118</v>
      </c>
    </row>
    <row r="80" spans="1:12" ht="26" customHeight="1" x14ac:dyDescent="0.2">
      <c r="A80" s="4" t="s">
        <v>133</v>
      </c>
      <c r="B80" s="4" t="s">
        <v>134</v>
      </c>
      <c r="C80" s="5" t="s">
        <v>33</v>
      </c>
      <c r="D80" s="7">
        <v>21580</v>
      </c>
      <c r="E80" s="8">
        <v>0.14000000000000001</v>
      </c>
      <c r="F80" s="7">
        <f t="shared" si="7"/>
        <v>24601.200000000004</v>
      </c>
      <c r="G80" s="9"/>
      <c r="H80" s="7" t="str">
        <f t="shared" si="8"/>
        <v/>
      </c>
      <c r="I80" s="10">
        <v>46231</v>
      </c>
      <c r="J80" s="6" t="s">
        <v>94</v>
      </c>
      <c r="K80" s="6"/>
      <c r="L80" s="6" t="s">
        <v>118</v>
      </c>
    </row>
    <row r="81" spans="1:12" ht="26" customHeight="1" x14ac:dyDescent="0.2">
      <c r="A81" s="4" t="s">
        <v>135</v>
      </c>
      <c r="B81" s="4" t="s">
        <v>136</v>
      </c>
      <c r="C81" s="5" t="s">
        <v>18</v>
      </c>
      <c r="D81" s="7">
        <v>21580</v>
      </c>
      <c r="E81" s="8">
        <v>0.14000000000000001</v>
      </c>
      <c r="F81" s="7">
        <f t="shared" si="7"/>
        <v>24601.200000000004</v>
      </c>
      <c r="G81" s="9"/>
      <c r="H81" s="7" t="str">
        <f t="shared" si="8"/>
        <v/>
      </c>
      <c r="I81" s="10" t="s">
        <v>418</v>
      </c>
      <c r="J81" s="6" t="s">
        <v>94</v>
      </c>
      <c r="K81" s="6"/>
      <c r="L81" s="6" t="s">
        <v>118</v>
      </c>
    </row>
    <row r="82" spans="1:12" ht="26" customHeight="1" x14ac:dyDescent="0.2">
      <c r="A82" s="4" t="s">
        <v>137</v>
      </c>
      <c r="B82" s="4" t="s">
        <v>138</v>
      </c>
      <c r="C82" s="5" t="s">
        <v>14</v>
      </c>
      <c r="D82" s="7">
        <v>21580</v>
      </c>
      <c r="E82" s="8">
        <v>0.14000000000000001</v>
      </c>
      <c r="F82" s="7">
        <f t="shared" si="7"/>
        <v>24601.200000000004</v>
      </c>
      <c r="G82" s="9"/>
      <c r="H82" s="7" t="str">
        <f t="shared" si="8"/>
        <v/>
      </c>
      <c r="I82" s="10" t="s">
        <v>418</v>
      </c>
      <c r="J82" s="6" t="s">
        <v>94</v>
      </c>
      <c r="K82" s="6"/>
      <c r="L82" s="6" t="s">
        <v>118</v>
      </c>
    </row>
    <row r="83" spans="1:12" ht="26" customHeight="1" x14ac:dyDescent="0.2">
      <c r="A83" s="4" t="s">
        <v>139</v>
      </c>
      <c r="B83" s="4" t="s">
        <v>140</v>
      </c>
      <c r="C83" s="5" t="s">
        <v>18</v>
      </c>
      <c r="D83" s="7">
        <v>21580</v>
      </c>
      <c r="E83" s="8">
        <v>0.14000000000000001</v>
      </c>
      <c r="F83" s="7">
        <f t="shared" si="7"/>
        <v>24601.200000000004</v>
      </c>
      <c r="G83" s="9"/>
      <c r="H83" s="7" t="str">
        <f t="shared" si="8"/>
        <v/>
      </c>
      <c r="I83" s="10" t="s">
        <v>418</v>
      </c>
      <c r="J83" s="6" t="s">
        <v>94</v>
      </c>
      <c r="K83" s="6"/>
      <c r="L83" s="6" t="s">
        <v>118</v>
      </c>
    </row>
    <row r="84" spans="1:12" ht="26" customHeight="1" x14ac:dyDescent="0.2">
      <c r="A84" s="4" t="s">
        <v>141</v>
      </c>
      <c r="B84" s="4" t="s">
        <v>314</v>
      </c>
      <c r="C84" s="5" t="s">
        <v>33</v>
      </c>
      <c r="D84" s="7">
        <v>21580</v>
      </c>
      <c r="E84" s="8">
        <v>0.14000000000000001</v>
      </c>
      <c r="F84" s="7">
        <f t="shared" si="7"/>
        <v>24601.200000000004</v>
      </c>
      <c r="G84" s="9"/>
      <c r="H84" s="7" t="str">
        <f t="shared" si="8"/>
        <v/>
      </c>
      <c r="I84" s="10" t="s">
        <v>418</v>
      </c>
      <c r="J84" s="6" t="s">
        <v>94</v>
      </c>
      <c r="K84" s="6"/>
      <c r="L84" s="6" t="s">
        <v>118</v>
      </c>
    </row>
    <row r="85" spans="1:12" ht="26" customHeight="1" x14ac:dyDescent="0.2">
      <c r="A85" s="4" t="s">
        <v>142</v>
      </c>
      <c r="B85" s="4" t="s">
        <v>143</v>
      </c>
      <c r="C85" s="5" t="s">
        <v>18</v>
      </c>
      <c r="D85" s="7">
        <v>21580</v>
      </c>
      <c r="E85" s="8">
        <v>0.14000000000000001</v>
      </c>
      <c r="F85" s="7">
        <f t="shared" si="7"/>
        <v>24601.200000000004</v>
      </c>
      <c r="G85" s="9"/>
      <c r="H85" s="7" t="str">
        <f t="shared" si="8"/>
        <v/>
      </c>
      <c r="I85" s="10" t="s">
        <v>418</v>
      </c>
      <c r="J85" s="6" t="s">
        <v>94</v>
      </c>
      <c r="K85" s="6"/>
      <c r="L85" s="6" t="s">
        <v>118</v>
      </c>
    </row>
    <row r="86" spans="1:12" ht="26" customHeight="1" x14ac:dyDescent="0.2">
      <c r="A86" s="4" t="s">
        <v>144</v>
      </c>
      <c r="B86" s="4" t="s">
        <v>145</v>
      </c>
      <c r="C86" s="5" t="s">
        <v>18</v>
      </c>
      <c r="D86" s="7">
        <v>12845</v>
      </c>
      <c r="E86" s="8">
        <v>0.14000000000000001</v>
      </c>
      <c r="F86" s="7">
        <f t="shared" si="7"/>
        <v>14643.300000000001</v>
      </c>
      <c r="G86" s="9"/>
      <c r="H86" s="7" t="str">
        <f t="shared" si="8"/>
        <v/>
      </c>
      <c r="I86" s="10" t="s">
        <v>418</v>
      </c>
      <c r="J86" s="6" t="s">
        <v>94</v>
      </c>
      <c r="K86" s="6"/>
      <c r="L86" s="6" t="s">
        <v>118</v>
      </c>
    </row>
    <row r="87" spans="1:12" ht="26" customHeight="1" x14ac:dyDescent="0.2">
      <c r="A87" s="22" t="s">
        <v>364</v>
      </c>
      <c r="B87" s="22" t="s">
        <v>361</v>
      </c>
      <c r="C87" s="5" t="s">
        <v>14</v>
      </c>
      <c r="D87" s="7">
        <v>5025</v>
      </c>
      <c r="E87" s="8">
        <v>0.14000000000000001</v>
      </c>
      <c r="F87" s="7">
        <f t="shared" si="7"/>
        <v>5728.5000000000009</v>
      </c>
      <c r="G87" s="9"/>
      <c r="H87" s="7" t="str">
        <f t="shared" si="8"/>
        <v/>
      </c>
      <c r="I87" s="10">
        <v>46050</v>
      </c>
      <c r="J87" s="6" t="s">
        <v>94</v>
      </c>
      <c r="K87" s="6"/>
      <c r="L87" s="6" t="s">
        <v>118</v>
      </c>
    </row>
    <row r="88" spans="1:12" ht="26" customHeight="1" x14ac:dyDescent="0.2">
      <c r="A88" s="22" t="s">
        <v>363</v>
      </c>
      <c r="B88" s="22" t="s">
        <v>362</v>
      </c>
      <c r="C88" s="5" t="s">
        <v>33</v>
      </c>
      <c r="D88" s="7">
        <v>12845</v>
      </c>
      <c r="E88" s="8">
        <v>0.14000000000000001</v>
      </c>
      <c r="F88" s="7">
        <f t="shared" si="7"/>
        <v>14643.300000000001</v>
      </c>
      <c r="G88" s="9"/>
      <c r="H88" s="7" t="str">
        <f t="shared" si="8"/>
        <v/>
      </c>
      <c r="I88" s="10" t="s">
        <v>418</v>
      </c>
      <c r="J88" s="6" t="s">
        <v>94</v>
      </c>
      <c r="K88" s="6"/>
      <c r="L88" s="6" t="s">
        <v>118</v>
      </c>
    </row>
    <row r="89" spans="1:12" ht="26" customHeight="1" x14ac:dyDescent="0.2">
      <c r="A89" s="4" t="s">
        <v>146</v>
      </c>
      <c r="B89" s="4" t="s">
        <v>147</v>
      </c>
      <c r="C89" s="5" t="s">
        <v>33</v>
      </c>
      <c r="D89" s="7">
        <v>21580</v>
      </c>
      <c r="E89" s="8">
        <v>0.14000000000000001</v>
      </c>
      <c r="F89" s="7">
        <f t="shared" si="7"/>
        <v>24601.200000000004</v>
      </c>
      <c r="G89" s="9"/>
      <c r="H89" s="7" t="str">
        <f t="shared" si="8"/>
        <v/>
      </c>
      <c r="I89" s="10">
        <v>46231</v>
      </c>
      <c r="J89" s="6" t="s">
        <v>94</v>
      </c>
      <c r="K89" s="6"/>
      <c r="L89" s="6" t="s">
        <v>118</v>
      </c>
    </row>
    <row r="90" spans="1:12" ht="26" customHeight="1" x14ac:dyDescent="0.2">
      <c r="A90" s="22" t="s">
        <v>369</v>
      </c>
      <c r="B90" s="22" t="s">
        <v>371</v>
      </c>
      <c r="C90" s="5" t="s">
        <v>33</v>
      </c>
      <c r="D90" s="7">
        <v>21405</v>
      </c>
      <c r="E90" s="8">
        <v>0.14000000000000001</v>
      </c>
      <c r="F90" s="7">
        <f t="shared" si="7"/>
        <v>24401.700000000004</v>
      </c>
      <c r="G90" s="9"/>
      <c r="H90" s="7" t="str">
        <f t="shared" si="8"/>
        <v/>
      </c>
      <c r="I90" s="10">
        <v>46081</v>
      </c>
      <c r="J90" s="6" t="s">
        <v>94</v>
      </c>
      <c r="K90" s="6"/>
      <c r="L90" s="6" t="s">
        <v>118</v>
      </c>
    </row>
    <row r="91" spans="1:12" ht="26" customHeight="1" x14ac:dyDescent="0.2">
      <c r="A91" s="22" t="s">
        <v>368</v>
      </c>
      <c r="B91" s="22" t="s">
        <v>372</v>
      </c>
      <c r="C91" s="5" t="s">
        <v>33</v>
      </c>
      <c r="D91" s="7">
        <v>17060</v>
      </c>
      <c r="E91" s="8">
        <v>0.14000000000000001</v>
      </c>
      <c r="F91" s="7">
        <f t="shared" si="7"/>
        <v>19448.400000000001</v>
      </c>
      <c r="G91" s="9"/>
      <c r="H91" s="7" t="str">
        <f t="shared" si="8"/>
        <v/>
      </c>
      <c r="I91" s="10">
        <v>46357</v>
      </c>
      <c r="J91" s="6" t="s">
        <v>94</v>
      </c>
      <c r="K91" s="6"/>
      <c r="L91" s="6" t="s">
        <v>118</v>
      </c>
    </row>
    <row r="92" spans="1:12" ht="26" customHeight="1" x14ac:dyDescent="0.2">
      <c r="A92" s="4" t="s">
        <v>148</v>
      </c>
      <c r="B92" s="4" t="s">
        <v>149</v>
      </c>
      <c r="C92" s="5" t="s">
        <v>18</v>
      </c>
      <c r="D92" s="7">
        <v>12845</v>
      </c>
      <c r="E92" s="8">
        <v>0.14000000000000001</v>
      </c>
      <c r="F92" s="7">
        <f t="shared" si="7"/>
        <v>14643.300000000001</v>
      </c>
      <c r="G92" s="9"/>
      <c r="H92" s="7" t="str">
        <f t="shared" si="8"/>
        <v/>
      </c>
      <c r="I92" s="10" t="s">
        <v>418</v>
      </c>
      <c r="J92" s="6" t="s">
        <v>94</v>
      </c>
      <c r="K92" s="6"/>
      <c r="L92" s="6" t="s">
        <v>118</v>
      </c>
    </row>
    <row r="93" spans="1:12" ht="26" customHeight="1" x14ac:dyDescent="0.2">
      <c r="A93" s="4" t="s">
        <v>150</v>
      </c>
      <c r="B93" s="4" t="s">
        <v>151</v>
      </c>
      <c r="C93" s="5" t="s">
        <v>18</v>
      </c>
      <c r="D93" s="7">
        <v>12845</v>
      </c>
      <c r="E93" s="8">
        <v>0.14000000000000001</v>
      </c>
      <c r="F93" s="7">
        <f t="shared" si="7"/>
        <v>14643.300000000001</v>
      </c>
      <c r="G93" s="9"/>
      <c r="H93" s="7" t="str">
        <f t="shared" si="8"/>
        <v/>
      </c>
      <c r="I93" s="10" t="s">
        <v>418</v>
      </c>
      <c r="J93" s="6" t="s">
        <v>94</v>
      </c>
      <c r="K93" s="6"/>
      <c r="L93" s="6" t="s">
        <v>118</v>
      </c>
    </row>
    <row r="94" spans="1:12" ht="26" customHeight="1" x14ac:dyDescent="0.2">
      <c r="A94" s="4" t="s">
        <v>152</v>
      </c>
      <c r="B94" s="4" t="s">
        <v>153</v>
      </c>
      <c r="C94" s="5" t="s">
        <v>18</v>
      </c>
      <c r="D94" s="7">
        <v>12845</v>
      </c>
      <c r="E94" s="8">
        <v>0.14000000000000001</v>
      </c>
      <c r="F94" s="7">
        <f t="shared" si="7"/>
        <v>14643.300000000001</v>
      </c>
      <c r="G94" s="9"/>
      <c r="H94" s="7" t="str">
        <f t="shared" si="8"/>
        <v/>
      </c>
      <c r="I94" s="10" t="s">
        <v>418</v>
      </c>
      <c r="J94" s="6" t="s">
        <v>94</v>
      </c>
      <c r="K94" s="6"/>
      <c r="L94" s="6" t="s">
        <v>118</v>
      </c>
    </row>
    <row r="95" spans="1:12" ht="26" customHeight="1" x14ac:dyDescent="0.2">
      <c r="A95" s="4" t="s">
        <v>154</v>
      </c>
      <c r="B95" s="4" t="s">
        <v>155</v>
      </c>
      <c r="C95" s="5" t="s">
        <v>18</v>
      </c>
      <c r="D95" s="7">
        <v>57255</v>
      </c>
      <c r="E95" s="8">
        <v>0.14000000000000001</v>
      </c>
      <c r="F95" s="7">
        <f t="shared" si="7"/>
        <v>65270.700000000004</v>
      </c>
      <c r="G95" s="9"/>
      <c r="H95" s="7" t="str">
        <f t="shared" si="8"/>
        <v/>
      </c>
      <c r="I95" s="10" t="s">
        <v>418</v>
      </c>
      <c r="J95" s="6" t="s">
        <v>94</v>
      </c>
      <c r="K95" s="6"/>
      <c r="L95" s="6" t="s">
        <v>118</v>
      </c>
    </row>
    <row r="96" spans="1:12" ht="26" customHeight="1" x14ac:dyDescent="0.2">
      <c r="A96" s="4" t="s">
        <v>156</v>
      </c>
      <c r="B96" s="4" t="s">
        <v>157</v>
      </c>
      <c r="C96" s="5" t="s">
        <v>33</v>
      </c>
      <c r="D96" s="7">
        <v>73600</v>
      </c>
      <c r="E96" s="8">
        <v>0.14000000000000001</v>
      </c>
      <c r="F96" s="7">
        <f t="shared" si="7"/>
        <v>83904.000000000015</v>
      </c>
      <c r="G96" s="9"/>
      <c r="H96" s="7" t="str">
        <f t="shared" si="8"/>
        <v/>
      </c>
      <c r="I96" s="10" t="s">
        <v>418</v>
      </c>
      <c r="J96" s="6" t="s">
        <v>94</v>
      </c>
      <c r="K96" s="6"/>
      <c r="L96" s="6" t="s">
        <v>118</v>
      </c>
    </row>
    <row r="97" spans="1:12" ht="26" customHeight="1" x14ac:dyDescent="0.2">
      <c r="A97" s="4" t="s">
        <v>158</v>
      </c>
      <c r="B97" s="4" t="s">
        <v>159</v>
      </c>
      <c r="C97" s="5" t="s">
        <v>14</v>
      </c>
      <c r="D97" s="7">
        <v>73600</v>
      </c>
      <c r="E97" s="8">
        <v>0.14000000000000001</v>
      </c>
      <c r="F97" s="7">
        <f t="shared" si="7"/>
        <v>83904.000000000015</v>
      </c>
      <c r="G97" s="9"/>
      <c r="H97" s="7" t="str">
        <f t="shared" si="8"/>
        <v/>
      </c>
      <c r="I97" s="10" t="s">
        <v>418</v>
      </c>
      <c r="J97" s="6" t="s">
        <v>94</v>
      </c>
      <c r="K97" s="6"/>
      <c r="L97" s="6" t="s">
        <v>118</v>
      </c>
    </row>
    <row r="98" spans="1:12" ht="26" customHeight="1" x14ac:dyDescent="0.2">
      <c r="A98" s="4" t="s">
        <v>160</v>
      </c>
      <c r="B98" s="4" t="s">
        <v>161</v>
      </c>
      <c r="C98" s="5" t="s">
        <v>33</v>
      </c>
      <c r="D98" s="7">
        <v>63645</v>
      </c>
      <c r="E98" s="8">
        <v>0.14000000000000001</v>
      </c>
      <c r="F98" s="7">
        <f t="shared" si="7"/>
        <v>72555.3</v>
      </c>
      <c r="G98" s="9"/>
      <c r="H98" s="7" t="str">
        <f t="shared" si="8"/>
        <v/>
      </c>
      <c r="I98" s="10" t="s">
        <v>418</v>
      </c>
      <c r="J98" s="6" t="s">
        <v>94</v>
      </c>
      <c r="K98" s="6"/>
      <c r="L98" s="6" t="s">
        <v>118</v>
      </c>
    </row>
    <row r="99" spans="1:12" ht="26" customHeight="1" x14ac:dyDescent="0.2">
      <c r="A99" s="4" t="s">
        <v>162</v>
      </c>
      <c r="B99" s="4" t="s">
        <v>163</v>
      </c>
      <c r="C99" s="5" t="s">
        <v>33</v>
      </c>
      <c r="D99" s="7">
        <v>13345</v>
      </c>
      <c r="E99" s="8">
        <v>0.14000000000000001</v>
      </c>
      <c r="F99" s="7">
        <f t="shared" si="7"/>
        <v>15213.300000000001</v>
      </c>
      <c r="G99" s="9"/>
      <c r="H99" s="7" t="str">
        <f t="shared" si="8"/>
        <v/>
      </c>
      <c r="I99" s="10">
        <v>46477</v>
      </c>
      <c r="J99" s="6" t="s">
        <v>94</v>
      </c>
      <c r="K99" s="6"/>
      <c r="L99" s="6" t="s">
        <v>118</v>
      </c>
    </row>
    <row r="100" spans="1:12" ht="26" customHeight="1" x14ac:dyDescent="0.2">
      <c r="A100" s="4" t="s">
        <v>164</v>
      </c>
      <c r="B100" s="4" t="s">
        <v>165</v>
      </c>
      <c r="C100" s="5" t="s">
        <v>18</v>
      </c>
      <c r="D100" s="7">
        <v>55150</v>
      </c>
      <c r="E100" s="8">
        <v>0.14000000000000001</v>
      </c>
      <c r="F100" s="7">
        <f t="shared" si="7"/>
        <v>62871.000000000007</v>
      </c>
      <c r="G100" s="9"/>
      <c r="H100" s="7" t="str">
        <f t="shared" si="8"/>
        <v/>
      </c>
      <c r="I100" s="10" t="s">
        <v>418</v>
      </c>
      <c r="J100" s="6" t="s">
        <v>94</v>
      </c>
      <c r="K100" s="6"/>
      <c r="L100" s="6" t="s">
        <v>118</v>
      </c>
    </row>
    <row r="101" spans="1:12" ht="26" customHeight="1" x14ac:dyDescent="0.2">
      <c r="A101" s="4" t="s">
        <v>166</v>
      </c>
      <c r="B101" s="4" t="s">
        <v>167</v>
      </c>
      <c r="C101" s="5" t="s">
        <v>14</v>
      </c>
      <c r="D101" s="7">
        <v>14680</v>
      </c>
      <c r="E101" s="8">
        <v>0.14000000000000001</v>
      </c>
      <c r="F101" s="7">
        <f t="shared" si="7"/>
        <v>16735.2</v>
      </c>
      <c r="G101" s="9"/>
      <c r="H101" s="7" t="str">
        <f t="shared" si="8"/>
        <v/>
      </c>
      <c r="I101" s="10" t="s">
        <v>418</v>
      </c>
      <c r="J101" s="6" t="s">
        <v>94</v>
      </c>
      <c r="K101" s="6"/>
      <c r="L101" s="6" t="s">
        <v>118</v>
      </c>
    </row>
    <row r="102" spans="1:12" ht="26" customHeight="1" x14ac:dyDescent="0.2">
      <c r="A102" s="4" t="s">
        <v>168</v>
      </c>
      <c r="B102" s="4" t="s">
        <v>169</v>
      </c>
      <c r="C102" s="5" t="s">
        <v>33</v>
      </c>
      <c r="D102" s="7">
        <v>26965</v>
      </c>
      <c r="E102" s="8">
        <v>0.14000000000000001</v>
      </c>
      <c r="F102" s="7">
        <f t="shared" ref="F102:F134" si="9">D102*(1+E102)</f>
        <v>30740.100000000002</v>
      </c>
      <c r="G102" s="9"/>
      <c r="H102" s="7" t="str">
        <f t="shared" ref="H102:H134" si="10">IF(G102="","",G102*F102)</f>
        <v/>
      </c>
      <c r="I102" s="10" t="s">
        <v>418</v>
      </c>
      <c r="J102" s="6" t="s">
        <v>94</v>
      </c>
      <c r="K102" s="6"/>
      <c r="L102" s="6" t="s">
        <v>118</v>
      </c>
    </row>
    <row r="103" spans="1:12" ht="26" customHeight="1" x14ac:dyDescent="0.2">
      <c r="A103" s="4" t="s">
        <v>170</v>
      </c>
      <c r="B103" s="4" t="s">
        <v>171</v>
      </c>
      <c r="C103" s="5" t="s">
        <v>33</v>
      </c>
      <c r="D103" s="7">
        <v>47140</v>
      </c>
      <c r="E103" s="8">
        <v>0.14000000000000001</v>
      </c>
      <c r="F103" s="7">
        <f t="shared" si="9"/>
        <v>53739.600000000006</v>
      </c>
      <c r="G103" s="9"/>
      <c r="H103" s="7" t="str">
        <f t="shared" si="10"/>
        <v/>
      </c>
      <c r="I103" s="10">
        <v>46201</v>
      </c>
      <c r="J103" s="6" t="s">
        <v>94</v>
      </c>
      <c r="K103" s="6"/>
      <c r="L103" s="6" t="s">
        <v>118</v>
      </c>
    </row>
    <row r="104" spans="1:12" ht="26" customHeight="1" x14ac:dyDescent="0.2">
      <c r="A104" s="4" t="s">
        <v>172</v>
      </c>
      <c r="B104" s="4" t="s">
        <v>173</v>
      </c>
      <c r="C104" s="5" t="s">
        <v>33</v>
      </c>
      <c r="D104" s="7">
        <v>20740</v>
      </c>
      <c r="E104" s="8">
        <v>0.14000000000000001</v>
      </c>
      <c r="F104" s="7">
        <f t="shared" si="9"/>
        <v>23643.600000000002</v>
      </c>
      <c r="G104" s="9"/>
      <c r="H104" s="7" t="str">
        <f t="shared" si="10"/>
        <v/>
      </c>
      <c r="I104" s="10">
        <v>46170</v>
      </c>
      <c r="J104" s="6" t="s">
        <v>94</v>
      </c>
      <c r="K104" s="6"/>
      <c r="L104" s="6" t="s">
        <v>118</v>
      </c>
    </row>
    <row r="105" spans="1:12" ht="26" customHeight="1" x14ac:dyDescent="0.2">
      <c r="A105" s="4" t="s">
        <v>174</v>
      </c>
      <c r="B105" s="4" t="s">
        <v>175</v>
      </c>
      <c r="C105" s="5" t="s">
        <v>33</v>
      </c>
      <c r="D105" s="7">
        <v>14250</v>
      </c>
      <c r="E105" s="8">
        <v>0.14000000000000001</v>
      </c>
      <c r="F105" s="7">
        <f t="shared" si="9"/>
        <v>16245.000000000002</v>
      </c>
      <c r="G105" s="9"/>
      <c r="H105" s="7" t="str">
        <f t="shared" si="10"/>
        <v/>
      </c>
      <c r="I105" s="10" t="s">
        <v>418</v>
      </c>
      <c r="J105" s="6" t="s">
        <v>94</v>
      </c>
      <c r="K105" s="6"/>
      <c r="L105" s="6" t="s">
        <v>118</v>
      </c>
    </row>
    <row r="106" spans="1:12" ht="26" customHeight="1" x14ac:dyDescent="0.2">
      <c r="A106" s="4" t="s">
        <v>176</v>
      </c>
      <c r="B106" s="4" t="s">
        <v>177</v>
      </c>
      <c r="C106" s="5" t="s">
        <v>14</v>
      </c>
      <c r="D106" s="7">
        <v>57580</v>
      </c>
      <c r="E106" s="8">
        <v>0.14000000000000001</v>
      </c>
      <c r="F106" s="7">
        <f t="shared" si="9"/>
        <v>65641.200000000012</v>
      </c>
      <c r="G106" s="9"/>
      <c r="H106" s="7" t="str">
        <f t="shared" si="10"/>
        <v/>
      </c>
      <c r="I106" s="10" t="s">
        <v>418</v>
      </c>
      <c r="J106" s="6" t="s">
        <v>94</v>
      </c>
      <c r="K106" s="6"/>
      <c r="L106" s="6" t="s">
        <v>118</v>
      </c>
    </row>
    <row r="107" spans="1:12" ht="26" customHeight="1" x14ac:dyDescent="0.2">
      <c r="A107" s="4" t="s">
        <v>178</v>
      </c>
      <c r="B107" s="4" t="s">
        <v>179</v>
      </c>
      <c r="C107" s="5" t="s">
        <v>14</v>
      </c>
      <c r="D107" s="7">
        <v>26140</v>
      </c>
      <c r="E107" s="8">
        <v>0.14000000000000001</v>
      </c>
      <c r="F107" s="7">
        <f t="shared" si="9"/>
        <v>29799.600000000002</v>
      </c>
      <c r="G107" s="9"/>
      <c r="H107" s="7" t="str">
        <f t="shared" si="10"/>
        <v/>
      </c>
      <c r="I107" s="10">
        <v>46231</v>
      </c>
      <c r="J107" s="6" t="s">
        <v>94</v>
      </c>
      <c r="K107" s="6"/>
      <c r="L107" s="6" t="s">
        <v>118</v>
      </c>
    </row>
    <row r="108" spans="1:12" ht="26" customHeight="1" x14ac:dyDescent="0.2">
      <c r="A108" s="4" t="s">
        <v>180</v>
      </c>
      <c r="B108" s="4" t="s">
        <v>181</v>
      </c>
      <c r="C108" s="5" t="s">
        <v>14</v>
      </c>
      <c r="D108" s="7">
        <v>15535</v>
      </c>
      <c r="E108" s="8">
        <v>0.14000000000000001</v>
      </c>
      <c r="F108" s="7">
        <f t="shared" si="9"/>
        <v>17709.900000000001</v>
      </c>
      <c r="G108" s="9"/>
      <c r="H108" s="7" t="str">
        <f t="shared" si="10"/>
        <v/>
      </c>
      <c r="I108" s="10"/>
      <c r="J108" s="6" t="s">
        <v>94</v>
      </c>
      <c r="K108" s="6"/>
      <c r="L108" s="6" t="s">
        <v>118</v>
      </c>
    </row>
    <row r="109" spans="1:12" ht="26" customHeight="1" x14ac:dyDescent="0.2">
      <c r="A109" s="4" t="s">
        <v>182</v>
      </c>
      <c r="B109" s="4" t="s">
        <v>183</v>
      </c>
      <c r="C109" s="5" t="s">
        <v>18</v>
      </c>
      <c r="D109" s="7">
        <v>24695</v>
      </c>
      <c r="E109" s="8">
        <v>0.14000000000000001</v>
      </c>
      <c r="F109" s="7">
        <f t="shared" si="9"/>
        <v>28152.300000000003</v>
      </c>
      <c r="G109" s="9"/>
      <c r="H109" s="7" t="str">
        <f t="shared" si="10"/>
        <v/>
      </c>
      <c r="I109" s="10"/>
      <c r="J109" s="6" t="s">
        <v>94</v>
      </c>
      <c r="K109" s="6"/>
      <c r="L109" s="6" t="s">
        <v>118</v>
      </c>
    </row>
    <row r="110" spans="1:12" ht="26" customHeight="1" x14ac:dyDescent="0.2">
      <c r="A110" s="4" t="s">
        <v>184</v>
      </c>
      <c r="B110" s="4" t="s">
        <v>185</v>
      </c>
      <c r="C110" s="5" t="s">
        <v>18</v>
      </c>
      <c r="D110" s="7">
        <v>11435</v>
      </c>
      <c r="E110" s="8">
        <v>0.14000000000000001</v>
      </c>
      <c r="F110" s="7">
        <f t="shared" si="9"/>
        <v>13035.900000000001</v>
      </c>
      <c r="G110" s="9"/>
      <c r="H110" s="7" t="str">
        <f t="shared" si="10"/>
        <v/>
      </c>
      <c r="I110" s="10"/>
      <c r="J110" s="6" t="s">
        <v>94</v>
      </c>
      <c r="K110" s="6"/>
      <c r="L110" s="6" t="s">
        <v>118</v>
      </c>
    </row>
    <row r="111" spans="1:12" ht="26" customHeight="1" x14ac:dyDescent="0.2">
      <c r="A111" s="4" t="s">
        <v>186</v>
      </c>
      <c r="B111" s="4" t="s">
        <v>187</v>
      </c>
      <c r="C111" s="5" t="s">
        <v>33</v>
      </c>
      <c r="D111" s="7">
        <v>15850</v>
      </c>
      <c r="E111" s="8">
        <v>0.14000000000000001</v>
      </c>
      <c r="F111" s="7">
        <f t="shared" si="9"/>
        <v>18069.000000000004</v>
      </c>
      <c r="G111" s="9"/>
      <c r="H111" s="7" t="str">
        <f t="shared" si="10"/>
        <v/>
      </c>
      <c r="I111" s="10">
        <v>46962</v>
      </c>
      <c r="J111" s="6" t="s">
        <v>94</v>
      </c>
      <c r="K111" s="6"/>
      <c r="L111" s="6" t="s">
        <v>118</v>
      </c>
    </row>
    <row r="112" spans="1:12" ht="26" customHeight="1" x14ac:dyDescent="0.2">
      <c r="A112" s="22" t="s">
        <v>365</v>
      </c>
      <c r="B112" s="22" t="s">
        <v>366</v>
      </c>
      <c r="C112" s="5" t="s">
        <v>33</v>
      </c>
      <c r="D112" s="7">
        <v>7130</v>
      </c>
      <c r="E112" s="8">
        <v>0.14000000000000001</v>
      </c>
      <c r="F112" s="7">
        <f t="shared" si="9"/>
        <v>8128.2000000000007</v>
      </c>
      <c r="G112" s="9"/>
      <c r="H112" s="7" t="str">
        <f t="shared" si="10"/>
        <v/>
      </c>
      <c r="I112" s="10"/>
      <c r="J112" s="6" t="s">
        <v>94</v>
      </c>
      <c r="K112" s="6"/>
      <c r="L112" s="6" t="s">
        <v>118</v>
      </c>
    </row>
    <row r="113" spans="1:12" ht="26" customHeight="1" x14ac:dyDescent="0.2">
      <c r="A113" s="4" t="s">
        <v>188</v>
      </c>
      <c r="B113" s="4" t="s">
        <v>189</v>
      </c>
      <c r="C113" s="5" t="s">
        <v>18</v>
      </c>
      <c r="D113" s="7">
        <v>12585</v>
      </c>
      <c r="E113" s="8">
        <v>0.14000000000000001</v>
      </c>
      <c r="F113" s="7">
        <f t="shared" si="9"/>
        <v>14346.900000000001</v>
      </c>
      <c r="G113" s="9"/>
      <c r="H113" s="7" t="str">
        <f t="shared" si="10"/>
        <v/>
      </c>
      <c r="I113" s="10"/>
      <c r="J113" s="6" t="s">
        <v>94</v>
      </c>
      <c r="K113" s="6"/>
      <c r="L113" s="6" t="s">
        <v>118</v>
      </c>
    </row>
    <row r="114" spans="1:12" ht="26" customHeight="1" x14ac:dyDescent="0.2">
      <c r="A114" s="4" t="s">
        <v>190</v>
      </c>
      <c r="B114" s="4" t="s">
        <v>191</v>
      </c>
      <c r="C114" s="5" t="s">
        <v>33</v>
      </c>
      <c r="D114" s="7">
        <v>9625</v>
      </c>
      <c r="E114" s="8">
        <v>0.14000000000000001</v>
      </c>
      <c r="F114" s="7">
        <f t="shared" si="9"/>
        <v>10972.500000000002</v>
      </c>
      <c r="G114" s="9"/>
      <c r="H114" s="7" t="str">
        <f t="shared" si="10"/>
        <v/>
      </c>
      <c r="I114" s="10">
        <v>46170</v>
      </c>
      <c r="J114" s="6" t="s">
        <v>94</v>
      </c>
      <c r="K114" s="6"/>
      <c r="L114" s="6" t="s">
        <v>118</v>
      </c>
    </row>
    <row r="115" spans="1:12" ht="26" customHeight="1" x14ac:dyDescent="0.2">
      <c r="A115" s="4" t="s">
        <v>192</v>
      </c>
      <c r="B115" s="4" t="s">
        <v>193</v>
      </c>
      <c r="C115" s="5" t="s">
        <v>33</v>
      </c>
      <c r="D115" s="7">
        <v>11960</v>
      </c>
      <c r="E115" s="8">
        <v>0.14000000000000001</v>
      </c>
      <c r="F115" s="7">
        <f t="shared" si="9"/>
        <v>13634.400000000001</v>
      </c>
      <c r="G115" s="9"/>
      <c r="H115" s="7" t="str">
        <f t="shared" si="10"/>
        <v/>
      </c>
      <c r="I115" s="10"/>
      <c r="J115" s="6" t="s">
        <v>94</v>
      </c>
      <c r="K115" s="6"/>
      <c r="L115" s="6" t="s">
        <v>118</v>
      </c>
    </row>
    <row r="116" spans="1:12" ht="26" customHeight="1" x14ac:dyDescent="0.2">
      <c r="A116" s="4" t="s">
        <v>194</v>
      </c>
      <c r="B116" s="4" t="s">
        <v>195</v>
      </c>
      <c r="C116" s="5" t="s">
        <v>33</v>
      </c>
      <c r="D116" s="7">
        <v>14050</v>
      </c>
      <c r="E116" s="8">
        <v>0.14000000000000001</v>
      </c>
      <c r="F116" s="7">
        <f t="shared" si="9"/>
        <v>16017.000000000002</v>
      </c>
      <c r="G116" s="9"/>
      <c r="H116" s="7" t="str">
        <f t="shared" si="10"/>
        <v/>
      </c>
      <c r="I116" s="10">
        <v>46231</v>
      </c>
      <c r="J116" s="6" t="s">
        <v>94</v>
      </c>
      <c r="K116" s="6"/>
      <c r="L116" s="6" t="s">
        <v>118</v>
      </c>
    </row>
    <row r="117" spans="1:12" ht="26" customHeight="1" x14ac:dyDescent="0.2">
      <c r="A117" s="4" t="s">
        <v>196</v>
      </c>
      <c r="B117" s="22" t="s">
        <v>382</v>
      </c>
      <c r="C117" s="5" t="s">
        <v>18</v>
      </c>
      <c r="D117" s="7">
        <v>20880</v>
      </c>
      <c r="E117" s="8">
        <v>0.14000000000000001</v>
      </c>
      <c r="F117" s="7">
        <f t="shared" si="9"/>
        <v>23803.200000000004</v>
      </c>
      <c r="G117" s="9"/>
      <c r="H117" s="7" t="str">
        <f t="shared" si="10"/>
        <v/>
      </c>
      <c r="I117" s="10"/>
      <c r="J117" s="6" t="s">
        <v>94</v>
      </c>
      <c r="K117" s="6"/>
      <c r="L117" s="6" t="s">
        <v>118</v>
      </c>
    </row>
    <row r="118" spans="1:12" ht="26" customHeight="1" x14ac:dyDescent="0.2">
      <c r="A118" s="22" t="s">
        <v>438</v>
      </c>
      <c r="B118" s="22" t="s">
        <v>437</v>
      </c>
      <c r="C118" s="27"/>
      <c r="D118" s="7"/>
      <c r="E118" s="8"/>
      <c r="F118" s="7">
        <f>D118*(1+E118)</f>
        <v>0</v>
      </c>
      <c r="G118" s="9"/>
      <c r="H118" s="7" t="str">
        <f>IF(G118="","",G118*F118)</f>
        <v/>
      </c>
      <c r="I118" s="10">
        <v>46614</v>
      </c>
      <c r="J118" s="6"/>
      <c r="K118" s="6"/>
      <c r="L118" s="6"/>
    </row>
    <row r="119" spans="1:12" ht="26" customHeight="1" x14ac:dyDescent="0.2">
      <c r="A119" s="22" t="s">
        <v>374</v>
      </c>
      <c r="B119" s="22" t="s">
        <v>373</v>
      </c>
      <c r="C119" s="5" t="s">
        <v>33</v>
      </c>
      <c r="D119" s="7">
        <v>54860</v>
      </c>
      <c r="E119" s="8">
        <v>0.14000000000000001</v>
      </c>
      <c r="F119" s="7">
        <f t="shared" si="9"/>
        <v>62540.400000000009</v>
      </c>
      <c r="G119" s="9"/>
      <c r="H119" s="7" t="str">
        <f t="shared" si="10"/>
        <v/>
      </c>
      <c r="I119" s="10">
        <v>46299</v>
      </c>
      <c r="J119" s="6" t="s">
        <v>94</v>
      </c>
      <c r="K119" s="6"/>
      <c r="L119" s="6" t="s">
        <v>118</v>
      </c>
    </row>
    <row r="120" spans="1:12" ht="26" customHeight="1" x14ac:dyDescent="0.2">
      <c r="A120" s="22" t="s">
        <v>401</v>
      </c>
      <c r="B120" s="22" t="s">
        <v>402</v>
      </c>
      <c r="C120" s="5" t="s">
        <v>18</v>
      </c>
      <c r="D120" s="7">
        <v>68470</v>
      </c>
      <c r="E120" s="8">
        <v>0.14000000000000001</v>
      </c>
      <c r="F120" s="7">
        <f t="shared" si="9"/>
        <v>78055.8</v>
      </c>
      <c r="G120" s="9"/>
      <c r="H120" s="7" t="str">
        <f t="shared" si="10"/>
        <v/>
      </c>
      <c r="I120" s="10">
        <v>46553</v>
      </c>
      <c r="J120" s="6" t="s">
        <v>94</v>
      </c>
      <c r="K120" s="6"/>
      <c r="L120" s="6" t="s">
        <v>118</v>
      </c>
    </row>
    <row r="121" spans="1:12" ht="26" customHeight="1" x14ac:dyDescent="0.2">
      <c r="A121" s="22" t="s">
        <v>399</v>
      </c>
      <c r="B121" s="22" t="s">
        <v>400</v>
      </c>
      <c r="C121" s="5" t="s">
        <v>18</v>
      </c>
      <c r="D121" s="7">
        <v>12660</v>
      </c>
      <c r="E121" s="8">
        <v>0.14000000000000001</v>
      </c>
      <c r="F121" s="7">
        <f t="shared" si="9"/>
        <v>14432.400000000001</v>
      </c>
      <c r="G121" s="9"/>
      <c r="H121" s="7" t="str">
        <f t="shared" si="10"/>
        <v/>
      </c>
      <c r="I121" s="10">
        <v>46553</v>
      </c>
      <c r="J121" s="6" t="s">
        <v>94</v>
      </c>
      <c r="K121" s="6"/>
      <c r="L121" s="6" t="s">
        <v>118</v>
      </c>
    </row>
    <row r="122" spans="1:12" ht="26" customHeight="1" x14ac:dyDescent="0.2">
      <c r="A122" s="22" t="s">
        <v>367</v>
      </c>
      <c r="B122" s="22" t="s">
        <v>370</v>
      </c>
      <c r="C122" s="5" t="s">
        <v>33</v>
      </c>
      <c r="D122" s="7">
        <v>21990</v>
      </c>
      <c r="E122" s="8">
        <v>0.14000000000000001</v>
      </c>
      <c r="F122" s="7">
        <f t="shared" si="9"/>
        <v>25068.600000000002</v>
      </c>
      <c r="G122" s="9"/>
      <c r="H122" s="7" t="str">
        <f t="shared" si="10"/>
        <v/>
      </c>
      <c r="I122" s="10">
        <v>46270</v>
      </c>
      <c r="J122" s="6" t="s">
        <v>94</v>
      </c>
      <c r="K122" s="6"/>
      <c r="L122" s="6" t="s">
        <v>118</v>
      </c>
    </row>
    <row r="123" spans="1:12" ht="26" customHeight="1" x14ac:dyDescent="0.2">
      <c r="A123" s="4" t="s">
        <v>359</v>
      </c>
      <c r="B123" s="4" t="s">
        <v>360</v>
      </c>
      <c r="C123" s="5" t="s">
        <v>14</v>
      </c>
      <c r="D123" s="7">
        <v>2185</v>
      </c>
      <c r="E123" s="8">
        <v>0.14000000000000001</v>
      </c>
      <c r="F123" s="7">
        <f t="shared" si="9"/>
        <v>2490.9</v>
      </c>
      <c r="G123" s="9"/>
      <c r="H123" s="7" t="str">
        <f t="shared" si="10"/>
        <v/>
      </c>
      <c r="I123" s="10">
        <v>46262</v>
      </c>
      <c r="J123" s="6" t="s">
        <v>94</v>
      </c>
      <c r="K123" s="6"/>
      <c r="L123" s="6" t="s">
        <v>118</v>
      </c>
    </row>
    <row r="124" spans="1:12" ht="26" customHeight="1" x14ac:dyDescent="0.2">
      <c r="A124" s="4" t="s">
        <v>197</v>
      </c>
      <c r="B124" s="4" t="s">
        <v>315</v>
      </c>
      <c r="C124" s="5" t="s">
        <v>18</v>
      </c>
      <c r="D124" s="7">
        <v>44505</v>
      </c>
      <c r="E124" s="8">
        <v>0.14000000000000001</v>
      </c>
      <c r="F124" s="7">
        <f t="shared" si="9"/>
        <v>50735.700000000004</v>
      </c>
      <c r="G124" s="9"/>
      <c r="H124" s="7" t="str">
        <f t="shared" si="10"/>
        <v/>
      </c>
      <c r="I124" s="10"/>
      <c r="J124" s="6" t="s">
        <v>94</v>
      </c>
      <c r="K124" s="6"/>
      <c r="L124" s="6" t="s">
        <v>118</v>
      </c>
    </row>
    <row r="125" spans="1:12" ht="26" customHeight="1" x14ac:dyDescent="0.2">
      <c r="A125" s="4" t="s">
        <v>380</v>
      </c>
      <c r="B125" s="4" t="s">
        <v>381</v>
      </c>
      <c r="C125" s="5" t="s">
        <v>33</v>
      </c>
      <c r="D125" s="7">
        <v>17060</v>
      </c>
      <c r="E125" s="8">
        <v>0.14000000000000001</v>
      </c>
      <c r="F125" s="7">
        <f t="shared" si="9"/>
        <v>19448.400000000001</v>
      </c>
      <c r="G125" s="9"/>
      <c r="H125" s="7" t="str">
        <f t="shared" si="10"/>
        <v/>
      </c>
      <c r="I125" s="10">
        <v>46109</v>
      </c>
      <c r="J125" s="6" t="s">
        <v>94</v>
      </c>
      <c r="K125" s="6"/>
      <c r="L125" s="6" t="s">
        <v>118</v>
      </c>
    </row>
    <row r="126" spans="1:12" ht="26" customHeight="1" x14ac:dyDescent="0.2">
      <c r="A126" s="6" t="s">
        <v>198</v>
      </c>
      <c r="B126" s="6" t="s">
        <v>199</v>
      </c>
      <c r="C126" s="5" t="s">
        <v>33</v>
      </c>
      <c r="D126" s="7">
        <v>17530</v>
      </c>
      <c r="E126" s="8">
        <v>0</v>
      </c>
      <c r="F126" s="7">
        <f t="shared" si="9"/>
        <v>17530</v>
      </c>
      <c r="G126" s="9"/>
      <c r="H126" s="7" t="str">
        <f t="shared" si="10"/>
        <v/>
      </c>
      <c r="I126" s="10">
        <v>46262</v>
      </c>
      <c r="J126" s="6" t="s">
        <v>325</v>
      </c>
      <c r="K126" s="6" t="s">
        <v>55</v>
      </c>
      <c r="L126" s="6" t="s">
        <v>16</v>
      </c>
    </row>
    <row r="127" spans="1:12" ht="26" customHeight="1" x14ac:dyDescent="0.2">
      <c r="A127" s="6" t="s">
        <v>200</v>
      </c>
      <c r="B127" s="6" t="s">
        <v>201</v>
      </c>
      <c r="C127" s="5" t="s">
        <v>33</v>
      </c>
      <c r="D127" s="7">
        <v>25915</v>
      </c>
      <c r="E127" s="8">
        <v>0</v>
      </c>
      <c r="F127" s="7">
        <f t="shared" si="9"/>
        <v>25915</v>
      </c>
      <c r="G127" s="9"/>
      <c r="H127" s="7" t="str">
        <f t="shared" si="10"/>
        <v/>
      </c>
      <c r="I127" s="10">
        <v>46384</v>
      </c>
      <c r="J127" s="6" t="s">
        <v>325</v>
      </c>
      <c r="K127" s="6" t="s">
        <v>55</v>
      </c>
      <c r="L127" s="6" t="s">
        <v>16</v>
      </c>
    </row>
    <row r="128" spans="1:12" ht="26" customHeight="1" x14ac:dyDescent="0.2">
      <c r="A128" s="6" t="s">
        <v>202</v>
      </c>
      <c r="B128" s="6" t="s">
        <v>203</v>
      </c>
      <c r="C128" s="5" t="s">
        <v>33</v>
      </c>
      <c r="D128" s="7">
        <v>18850</v>
      </c>
      <c r="E128" s="8">
        <v>0</v>
      </c>
      <c r="F128" s="7">
        <f t="shared" si="9"/>
        <v>18850</v>
      </c>
      <c r="G128" s="9"/>
      <c r="H128" s="7" t="str">
        <f t="shared" si="10"/>
        <v/>
      </c>
      <c r="I128" s="10">
        <v>46446</v>
      </c>
      <c r="J128" s="6" t="s">
        <v>325</v>
      </c>
      <c r="K128" s="6" t="s">
        <v>55</v>
      </c>
      <c r="L128" s="6" t="s">
        <v>16</v>
      </c>
    </row>
    <row r="129" spans="1:12" ht="26" customHeight="1" x14ac:dyDescent="0.2">
      <c r="A129" s="6" t="s">
        <v>204</v>
      </c>
      <c r="B129" s="6" t="s">
        <v>205</v>
      </c>
      <c r="C129" s="5" t="s">
        <v>33</v>
      </c>
      <c r="D129" s="7">
        <v>21440</v>
      </c>
      <c r="E129" s="8">
        <v>0</v>
      </c>
      <c r="F129" s="7">
        <f t="shared" si="9"/>
        <v>21440</v>
      </c>
      <c r="G129" s="9"/>
      <c r="H129" s="7" t="str">
        <f t="shared" si="10"/>
        <v/>
      </c>
      <c r="I129" s="10">
        <v>46446</v>
      </c>
      <c r="J129" s="6" t="s">
        <v>325</v>
      </c>
      <c r="K129" s="6" t="s">
        <v>55</v>
      </c>
      <c r="L129" s="6" t="s">
        <v>16</v>
      </c>
    </row>
    <row r="130" spans="1:12" ht="26" customHeight="1" x14ac:dyDescent="0.2">
      <c r="A130" s="6" t="s">
        <v>206</v>
      </c>
      <c r="B130" s="6" t="s">
        <v>207</v>
      </c>
      <c r="C130" s="5" t="s">
        <v>14</v>
      </c>
      <c r="D130" s="7">
        <v>17130</v>
      </c>
      <c r="E130" s="8">
        <v>0</v>
      </c>
      <c r="F130" s="7">
        <f t="shared" si="9"/>
        <v>17130</v>
      </c>
      <c r="G130" s="9"/>
      <c r="H130" s="7" t="str">
        <f t="shared" si="10"/>
        <v/>
      </c>
      <c r="I130" s="10" t="s">
        <v>425</v>
      </c>
      <c r="J130" s="6" t="s">
        <v>325</v>
      </c>
      <c r="K130" s="6" t="s">
        <v>55</v>
      </c>
      <c r="L130" s="6" t="s">
        <v>16</v>
      </c>
    </row>
    <row r="131" spans="1:12" ht="26" customHeight="1" x14ac:dyDescent="0.2">
      <c r="A131" s="6" t="s">
        <v>208</v>
      </c>
      <c r="B131" s="6" t="s">
        <v>209</v>
      </c>
      <c r="C131" s="5" t="s">
        <v>33</v>
      </c>
      <c r="D131" s="7">
        <v>25020</v>
      </c>
      <c r="E131" s="8">
        <v>0</v>
      </c>
      <c r="F131" s="7">
        <f t="shared" si="9"/>
        <v>25020</v>
      </c>
      <c r="G131" s="9"/>
      <c r="H131" s="7" t="str">
        <f t="shared" si="10"/>
        <v/>
      </c>
      <c r="I131" s="10">
        <v>46415</v>
      </c>
      <c r="J131" s="6" t="s">
        <v>331</v>
      </c>
      <c r="K131" s="6" t="s">
        <v>55</v>
      </c>
      <c r="L131" s="6" t="s">
        <v>16</v>
      </c>
    </row>
    <row r="132" spans="1:12" ht="26" customHeight="1" x14ac:dyDescent="0.2">
      <c r="A132" s="12" t="s">
        <v>210</v>
      </c>
      <c r="B132" s="6" t="s">
        <v>211</v>
      </c>
      <c r="C132" s="5" t="s">
        <v>14</v>
      </c>
      <c r="D132" s="13">
        <v>17680</v>
      </c>
      <c r="E132" s="14">
        <v>0</v>
      </c>
      <c r="F132" s="7">
        <f t="shared" si="9"/>
        <v>17680</v>
      </c>
      <c r="G132" s="15"/>
      <c r="H132" s="7" t="str">
        <f t="shared" si="10"/>
        <v/>
      </c>
      <c r="I132" s="10" t="s">
        <v>426</v>
      </c>
      <c r="J132" s="12" t="s">
        <v>325</v>
      </c>
      <c r="K132" s="12" t="s">
        <v>334</v>
      </c>
      <c r="L132" s="12" t="s">
        <v>16</v>
      </c>
    </row>
    <row r="133" spans="1:12" ht="26" customHeight="1" x14ac:dyDescent="0.2">
      <c r="A133" s="12" t="s">
        <v>212</v>
      </c>
      <c r="B133" s="6" t="s">
        <v>213</v>
      </c>
      <c r="C133" s="5" t="s">
        <v>33</v>
      </c>
      <c r="D133" s="13">
        <v>21835</v>
      </c>
      <c r="E133" s="14">
        <v>0</v>
      </c>
      <c r="F133" s="7">
        <f t="shared" si="9"/>
        <v>21835</v>
      </c>
      <c r="G133" s="15"/>
      <c r="H133" s="7" t="str">
        <f t="shared" si="10"/>
        <v/>
      </c>
      <c r="I133" s="10">
        <v>46566</v>
      </c>
      <c r="J133" s="12" t="s">
        <v>335</v>
      </c>
      <c r="K133" s="12" t="s">
        <v>334</v>
      </c>
      <c r="L133" s="12" t="s">
        <v>16</v>
      </c>
    </row>
    <row r="134" spans="1:12" ht="26" customHeight="1" x14ac:dyDescent="0.2">
      <c r="A134" s="12" t="s">
        <v>214</v>
      </c>
      <c r="B134" s="6" t="s">
        <v>215</v>
      </c>
      <c r="C134" s="5" t="s">
        <v>33</v>
      </c>
      <c r="D134" s="13">
        <v>17950</v>
      </c>
      <c r="E134" s="14">
        <v>0</v>
      </c>
      <c r="F134" s="7">
        <f t="shared" si="9"/>
        <v>17950</v>
      </c>
      <c r="G134" s="15"/>
      <c r="H134" s="7" t="str">
        <f t="shared" si="10"/>
        <v/>
      </c>
      <c r="I134" s="10">
        <v>46474</v>
      </c>
      <c r="J134" s="12" t="s">
        <v>325</v>
      </c>
      <c r="K134" s="12" t="s">
        <v>334</v>
      </c>
      <c r="L134" s="12" t="s">
        <v>16</v>
      </c>
    </row>
    <row r="135" spans="1:12" ht="26" customHeight="1" x14ac:dyDescent="0.2">
      <c r="A135" s="12" t="s">
        <v>216</v>
      </c>
      <c r="B135" s="6" t="s">
        <v>217</v>
      </c>
      <c r="C135" s="5" t="s">
        <v>33</v>
      </c>
      <c r="D135" s="13">
        <v>25600</v>
      </c>
      <c r="E135" s="14">
        <v>0</v>
      </c>
      <c r="F135" s="7">
        <f t="shared" ref="F135:F167" si="11">D135*(1+E135)</f>
        <v>25600</v>
      </c>
      <c r="G135" s="15"/>
      <c r="H135" s="7" t="str">
        <f t="shared" ref="H135:H167" si="12">IF(G135="","",G135*F135)</f>
        <v/>
      </c>
      <c r="I135" s="10">
        <v>46535</v>
      </c>
      <c r="J135" s="12" t="s">
        <v>325</v>
      </c>
      <c r="K135" s="12" t="s">
        <v>334</v>
      </c>
      <c r="L135" s="12" t="s">
        <v>16</v>
      </c>
    </row>
    <row r="136" spans="1:12" ht="26" customHeight="1" x14ac:dyDescent="0.2">
      <c r="A136" s="12" t="s">
        <v>218</v>
      </c>
      <c r="B136" s="6" t="s">
        <v>219</v>
      </c>
      <c r="C136" s="5" t="s">
        <v>33</v>
      </c>
      <c r="D136" s="13">
        <v>28500</v>
      </c>
      <c r="E136" s="14">
        <v>0</v>
      </c>
      <c r="F136" s="7">
        <f t="shared" si="11"/>
        <v>28500</v>
      </c>
      <c r="G136" s="15"/>
      <c r="H136" s="7" t="str">
        <f t="shared" si="12"/>
        <v/>
      </c>
      <c r="I136" s="10" t="s">
        <v>426</v>
      </c>
      <c r="J136" s="12" t="s">
        <v>325</v>
      </c>
      <c r="K136" s="12" t="s">
        <v>334</v>
      </c>
      <c r="L136" s="12" t="s">
        <v>16</v>
      </c>
    </row>
    <row r="137" spans="1:12" ht="26" customHeight="1" x14ac:dyDescent="0.2">
      <c r="A137" s="12" t="s">
        <v>220</v>
      </c>
      <c r="B137" s="6" t="s">
        <v>221</v>
      </c>
      <c r="C137" s="5" t="s">
        <v>33</v>
      </c>
      <c r="D137" s="13">
        <v>19290</v>
      </c>
      <c r="E137" s="14">
        <v>0</v>
      </c>
      <c r="F137" s="7">
        <f t="shared" si="11"/>
        <v>19290</v>
      </c>
      <c r="G137" s="15"/>
      <c r="H137" s="7" t="str">
        <f t="shared" si="12"/>
        <v/>
      </c>
      <c r="I137" s="10" t="s">
        <v>427</v>
      </c>
      <c r="J137" s="12" t="s">
        <v>325</v>
      </c>
      <c r="K137" s="12" t="s">
        <v>28</v>
      </c>
      <c r="L137" s="12" t="s">
        <v>16</v>
      </c>
    </row>
    <row r="138" spans="1:12" ht="26" customHeight="1" x14ac:dyDescent="0.2">
      <c r="A138" s="6" t="s">
        <v>222</v>
      </c>
      <c r="B138" s="6" t="s">
        <v>223</v>
      </c>
      <c r="C138" s="5" t="s">
        <v>14</v>
      </c>
      <c r="D138" s="7">
        <v>19940</v>
      </c>
      <c r="E138" s="8">
        <v>0</v>
      </c>
      <c r="F138" s="7">
        <f t="shared" si="11"/>
        <v>19940</v>
      </c>
      <c r="G138" s="9"/>
      <c r="H138" s="7" t="str">
        <f t="shared" si="12"/>
        <v/>
      </c>
      <c r="I138" s="10">
        <v>46293</v>
      </c>
      <c r="J138" s="6" t="s">
        <v>325</v>
      </c>
      <c r="K138" s="6" t="s">
        <v>334</v>
      </c>
      <c r="L138" s="6" t="s">
        <v>16</v>
      </c>
    </row>
    <row r="139" spans="1:12" ht="26" customHeight="1" x14ac:dyDescent="0.2">
      <c r="A139" s="6" t="s">
        <v>224</v>
      </c>
      <c r="B139" s="6" t="s">
        <v>225</v>
      </c>
      <c r="C139" s="5" t="s">
        <v>33</v>
      </c>
      <c r="D139" s="7">
        <v>21530</v>
      </c>
      <c r="E139" s="8">
        <v>0</v>
      </c>
      <c r="F139" s="7">
        <f t="shared" si="11"/>
        <v>21530</v>
      </c>
      <c r="G139" s="9"/>
      <c r="H139" s="7" t="str">
        <f t="shared" si="12"/>
        <v/>
      </c>
      <c r="I139" s="10">
        <v>46231</v>
      </c>
      <c r="J139" s="6" t="s">
        <v>325</v>
      </c>
      <c r="K139" s="6" t="s">
        <v>334</v>
      </c>
      <c r="L139" s="6" t="s">
        <v>16</v>
      </c>
    </row>
    <row r="140" spans="1:12" ht="26" customHeight="1" x14ac:dyDescent="0.2">
      <c r="A140" s="6" t="s">
        <v>226</v>
      </c>
      <c r="B140" s="6" t="s">
        <v>227</v>
      </c>
      <c r="C140" s="5" t="s">
        <v>18</v>
      </c>
      <c r="D140" s="7">
        <v>50820</v>
      </c>
      <c r="E140" s="8">
        <v>0</v>
      </c>
      <c r="F140" s="7">
        <f t="shared" si="11"/>
        <v>50820</v>
      </c>
      <c r="G140" s="9"/>
      <c r="H140" s="7" t="str">
        <f t="shared" si="12"/>
        <v/>
      </c>
      <c r="I140" s="10">
        <v>46387</v>
      </c>
      <c r="J140" s="6" t="s">
        <v>15</v>
      </c>
      <c r="K140" s="6" t="s">
        <v>336</v>
      </c>
      <c r="L140" s="6" t="s">
        <v>16</v>
      </c>
    </row>
    <row r="141" spans="1:12" ht="26" customHeight="1" x14ac:dyDescent="0.2">
      <c r="A141" s="6" t="s">
        <v>316</v>
      </c>
      <c r="B141" s="6" t="s">
        <v>317</v>
      </c>
      <c r="C141" s="5" t="s">
        <v>14</v>
      </c>
      <c r="D141" s="7">
        <v>52885</v>
      </c>
      <c r="E141" s="8">
        <v>0</v>
      </c>
      <c r="F141" s="7">
        <f t="shared" si="11"/>
        <v>52885</v>
      </c>
      <c r="G141" s="9"/>
      <c r="H141" s="7" t="str">
        <f t="shared" si="12"/>
        <v/>
      </c>
      <c r="I141" s="10">
        <v>46231</v>
      </c>
      <c r="J141" s="6" t="s">
        <v>19</v>
      </c>
      <c r="K141" s="6" t="s">
        <v>337</v>
      </c>
      <c r="L141" s="6" t="s">
        <v>16</v>
      </c>
    </row>
    <row r="142" spans="1:12" ht="26" customHeight="1" x14ac:dyDescent="0.2">
      <c r="A142" s="6" t="s">
        <v>228</v>
      </c>
      <c r="B142" s="6" t="s">
        <v>229</v>
      </c>
      <c r="C142" s="5" t="s">
        <v>33</v>
      </c>
      <c r="D142" s="7">
        <v>82890</v>
      </c>
      <c r="E142" s="8">
        <v>0</v>
      </c>
      <c r="F142" s="7">
        <f t="shared" si="11"/>
        <v>82890</v>
      </c>
      <c r="G142" s="9"/>
      <c r="H142" s="7" t="str">
        <f t="shared" si="12"/>
        <v/>
      </c>
      <c r="I142" s="10">
        <v>47058</v>
      </c>
      <c r="J142" s="6" t="s">
        <v>36</v>
      </c>
      <c r="K142" s="6" t="s">
        <v>329</v>
      </c>
      <c r="L142" s="6" t="s">
        <v>16</v>
      </c>
    </row>
    <row r="143" spans="1:12" ht="26" customHeight="1" x14ac:dyDescent="0.2">
      <c r="A143" s="6" t="s">
        <v>230</v>
      </c>
      <c r="B143" s="6" t="s">
        <v>231</v>
      </c>
      <c r="C143" s="5" t="s">
        <v>14</v>
      </c>
      <c r="D143" s="7">
        <v>81455</v>
      </c>
      <c r="E143" s="8">
        <v>0</v>
      </c>
      <c r="F143" s="7">
        <f t="shared" si="11"/>
        <v>81455</v>
      </c>
      <c r="G143" s="9"/>
      <c r="H143" s="7" t="str">
        <f t="shared" si="12"/>
        <v/>
      </c>
      <c r="I143" s="10">
        <v>46447</v>
      </c>
      <c r="J143" s="6" t="s">
        <v>36</v>
      </c>
      <c r="K143" s="6" t="s">
        <v>329</v>
      </c>
      <c r="L143" s="6" t="s">
        <v>16</v>
      </c>
    </row>
    <row r="144" spans="1:12" ht="26" customHeight="1" x14ac:dyDescent="0.2">
      <c r="A144" s="6" t="s">
        <v>232</v>
      </c>
      <c r="B144" s="6" t="s">
        <v>233</v>
      </c>
      <c r="C144" s="5" t="s">
        <v>33</v>
      </c>
      <c r="D144" s="7">
        <v>132935</v>
      </c>
      <c r="E144" s="8">
        <v>0</v>
      </c>
      <c r="F144" s="7">
        <f t="shared" si="11"/>
        <v>132935</v>
      </c>
      <c r="G144" s="9"/>
      <c r="H144" s="7" t="str">
        <f t="shared" si="12"/>
        <v/>
      </c>
      <c r="I144" s="10" t="s">
        <v>428</v>
      </c>
      <c r="J144" s="6" t="s">
        <v>36</v>
      </c>
      <c r="K144" s="6" t="s">
        <v>329</v>
      </c>
      <c r="L144" s="6" t="s">
        <v>16</v>
      </c>
    </row>
    <row r="145" spans="1:12" ht="26" customHeight="1" x14ac:dyDescent="0.2">
      <c r="A145" s="6" t="s">
        <v>234</v>
      </c>
      <c r="B145" s="6" t="s">
        <v>235</v>
      </c>
      <c r="C145" s="5" t="s">
        <v>14</v>
      </c>
      <c r="D145" s="7">
        <v>162630</v>
      </c>
      <c r="E145" s="8">
        <v>0</v>
      </c>
      <c r="F145" s="7">
        <f t="shared" si="11"/>
        <v>162630</v>
      </c>
      <c r="G145" s="9"/>
      <c r="H145" s="7" t="str">
        <f t="shared" si="12"/>
        <v/>
      </c>
      <c r="I145" s="10">
        <v>46296</v>
      </c>
      <c r="J145" s="6" t="s">
        <v>36</v>
      </c>
      <c r="K145" s="6" t="s">
        <v>338</v>
      </c>
      <c r="L145" s="6" t="s">
        <v>16</v>
      </c>
    </row>
    <row r="146" spans="1:12" ht="26" customHeight="1" x14ac:dyDescent="0.2">
      <c r="A146" s="6" t="s">
        <v>236</v>
      </c>
      <c r="B146" s="6" t="s">
        <v>237</v>
      </c>
      <c r="C146" s="5" t="s">
        <v>33</v>
      </c>
      <c r="D146" s="7">
        <v>50050</v>
      </c>
      <c r="E146" s="8">
        <v>0</v>
      </c>
      <c r="F146" s="7">
        <f t="shared" si="11"/>
        <v>50050</v>
      </c>
      <c r="G146" s="9"/>
      <c r="H146" s="7" t="str">
        <f t="shared" si="12"/>
        <v/>
      </c>
      <c r="I146" s="10">
        <v>46478</v>
      </c>
      <c r="J146" s="6" t="s">
        <v>36</v>
      </c>
      <c r="K146" s="6" t="s">
        <v>329</v>
      </c>
      <c r="L146" s="6" t="s">
        <v>16</v>
      </c>
    </row>
    <row r="147" spans="1:12" ht="26" customHeight="1" x14ac:dyDescent="0.2">
      <c r="A147" s="6" t="s">
        <v>238</v>
      </c>
      <c r="B147" s="6" t="s">
        <v>239</v>
      </c>
      <c r="C147" s="5" t="s">
        <v>33</v>
      </c>
      <c r="D147" s="7">
        <v>14260</v>
      </c>
      <c r="E147" s="8">
        <v>0</v>
      </c>
      <c r="F147" s="7">
        <f t="shared" si="11"/>
        <v>14260</v>
      </c>
      <c r="G147" s="9"/>
      <c r="H147" s="7" t="str">
        <f t="shared" si="12"/>
        <v/>
      </c>
      <c r="I147" s="10">
        <v>46296</v>
      </c>
      <c r="J147" s="6" t="s">
        <v>339</v>
      </c>
      <c r="K147" s="6" t="s">
        <v>329</v>
      </c>
      <c r="L147" s="6" t="s">
        <v>16</v>
      </c>
    </row>
    <row r="148" spans="1:12" ht="26" customHeight="1" x14ac:dyDescent="0.2">
      <c r="A148" s="21" t="s">
        <v>422</v>
      </c>
      <c r="B148" s="21" t="s">
        <v>423</v>
      </c>
      <c r="C148" s="5" t="s">
        <v>33</v>
      </c>
      <c r="D148" s="7">
        <v>36910</v>
      </c>
      <c r="E148" s="8">
        <v>0</v>
      </c>
      <c r="F148" s="7">
        <f>D148*(1+E148)</f>
        <v>36910</v>
      </c>
      <c r="G148" s="9"/>
      <c r="H148" s="7" t="str">
        <f t="shared" si="12"/>
        <v/>
      </c>
      <c r="I148" s="10">
        <v>46477</v>
      </c>
      <c r="J148" s="21" t="s">
        <v>424</v>
      </c>
      <c r="K148" s="21" t="s">
        <v>424</v>
      </c>
      <c r="L148" s="6"/>
    </row>
    <row r="149" spans="1:12" ht="26" customHeight="1" x14ac:dyDescent="0.2">
      <c r="A149" s="6" t="s">
        <v>240</v>
      </c>
      <c r="B149" s="6" t="s">
        <v>241</v>
      </c>
      <c r="C149" s="5" t="s">
        <v>18</v>
      </c>
      <c r="D149" s="7">
        <v>15520</v>
      </c>
      <c r="E149" s="8">
        <v>0</v>
      </c>
      <c r="F149" s="7">
        <f t="shared" si="11"/>
        <v>15520</v>
      </c>
      <c r="G149" s="9"/>
      <c r="H149" s="7" t="str">
        <f t="shared" si="12"/>
        <v/>
      </c>
      <c r="I149" s="10"/>
      <c r="J149" s="6" t="s">
        <v>242</v>
      </c>
      <c r="K149" s="6" t="s">
        <v>243</v>
      </c>
      <c r="L149" s="6" t="s">
        <v>343</v>
      </c>
    </row>
    <row r="150" spans="1:12" ht="26" customHeight="1" x14ac:dyDescent="0.2">
      <c r="A150" s="6" t="s">
        <v>244</v>
      </c>
      <c r="B150" s="6" t="s">
        <v>245</v>
      </c>
      <c r="C150" s="5" t="s">
        <v>33</v>
      </c>
      <c r="D150" s="7">
        <v>7990</v>
      </c>
      <c r="E150" s="8">
        <v>0</v>
      </c>
      <c r="F150" s="7">
        <f t="shared" si="11"/>
        <v>7990</v>
      </c>
      <c r="G150" s="9"/>
      <c r="H150" s="7" t="str">
        <f t="shared" si="12"/>
        <v/>
      </c>
      <c r="I150" s="10">
        <v>46811</v>
      </c>
      <c r="J150" s="6" t="s">
        <v>242</v>
      </c>
      <c r="K150" s="6" t="s">
        <v>243</v>
      </c>
      <c r="L150" s="6" t="s">
        <v>343</v>
      </c>
    </row>
    <row r="151" spans="1:12" ht="26" customHeight="1" x14ac:dyDescent="0.2">
      <c r="A151" s="6" t="s">
        <v>246</v>
      </c>
      <c r="B151" s="6" t="s">
        <v>247</v>
      </c>
      <c r="C151" s="5" t="s">
        <v>33</v>
      </c>
      <c r="D151" s="7">
        <v>9940</v>
      </c>
      <c r="E151" s="8">
        <v>0</v>
      </c>
      <c r="F151" s="7">
        <f t="shared" si="11"/>
        <v>9940</v>
      </c>
      <c r="G151" s="9"/>
      <c r="H151" s="7" t="str">
        <f t="shared" si="12"/>
        <v/>
      </c>
      <c r="I151" s="10">
        <v>46753</v>
      </c>
      <c r="J151" s="6" t="s">
        <v>242</v>
      </c>
      <c r="K151" s="6" t="s">
        <v>243</v>
      </c>
      <c r="L151" s="6" t="s">
        <v>343</v>
      </c>
    </row>
    <row r="152" spans="1:12" ht="26" customHeight="1" x14ac:dyDescent="0.2">
      <c r="A152" s="6" t="s">
        <v>393</v>
      </c>
      <c r="B152" s="6" t="s">
        <v>394</v>
      </c>
      <c r="C152" s="5" t="s">
        <v>33</v>
      </c>
      <c r="D152" s="7">
        <v>14110</v>
      </c>
      <c r="E152" s="8">
        <v>0</v>
      </c>
      <c r="F152" s="7">
        <f t="shared" si="11"/>
        <v>14110</v>
      </c>
      <c r="G152" s="9"/>
      <c r="H152" s="7" t="str">
        <f t="shared" si="12"/>
        <v/>
      </c>
      <c r="I152" s="10">
        <v>46266</v>
      </c>
      <c r="J152" s="6" t="s">
        <v>242</v>
      </c>
      <c r="K152" s="21" t="s">
        <v>243</v>
      </c>
      <c r="L152" s="6" t="s">
        <v>343</v>
      </c>
    </row>
    <row r="153" spans="1:12" ht="26" customHeight="1" x14ac:dyDescent="0.2">
      <c r="A153" s="6" t="s">
        <v>395</v>
      </c>
      <c r="B153" s="6" t="s">
        <v>396</v>
      </c>
      <c r="C153" s="5" t="s">
        <v>33</v>
      </c>
      <c r="D153" s="7">
        <v>19160</v>
      </c>
      <c r="E153" s="8">
        <v>0</v>
      </c>
      <c r="F153" s="7">
        <f t="shared" si="11"/>
        <v>19160</v>
      </c>
      <c r="G153" s="9"/>
      <c r="H153" s="7" t="str">
        <f t="shared" si="12"/>
        <v/>
      </c>
      <c r="I153" s="10">
        <v>46600</v>
      </c>
      <c r="J153" s="6" t="s">
        <v>242</v>
      </c>
      <c r="K153" s="21" t="s">
        <v>243</v>
      </c>
      <c r="L153" s="6" t="s">
        <v>343</v>
      </c>
    </row>
    <row r="154" spans="1:12" ht="26" customHeight="1" x14ac:dyDescent="0.2">
      <c r="A154" s="21" t="s">
        <v>349</v>
      </c>
      <c r="B154" s="21" t="s">
        <v>350</v>
      </c>
      <c r="C154" s="5" t="s">
        <v>33</v>
      </c>
      <c r="D154" s="7">
        <v>26980</v>
      </c>
      <c r="E154" s="8">
        <v>0</v>
      </c>
      <c r="F154" s="7">
        <f t="shared" si="11"/>
        <v>26980</v>
      </c>
      <c r="G154" s="9"/>
      <c r="H154" s="7" t="str">
        <f t="shared" si="12"/>
        <v/>
      </c>
      <c r="I154" s="10">
        <v>46081</v>
      </c>
      <c r="J154" s="6" t="s">
        <v>242</v>
      </c>
      <c r="K154" s="6" t="s">
        <v>243</v>
      </c>
      <c r="L154" s="6" t="s">
        <v>343</v>
      </c>
    </row>
    <row r="155" spans="1:12" ht="26" customHeight="1" x14ac:dyDescent="0.2">
      <c r="A155" s="6" t="s">
        <v>248</v>
      </c>
      <c r="B155" s="6" t="s">
        <v>249</v>
      </c>
      <c r="C155" s="5" t="s">
        <v>18</v>
      </c>
      <c r="D155" s="7">
        <v>12460</v>
      </c>
      <c r="E155" s="8">
        <v>0</v>
      </c>
      <c r="F155" s="7">
        <f t="shared" si="11"/>
        <v>12460</v>
      </c>
      <c r="G155" s="9"/>
      <c r="H155" s="7" t="str">
        <f t="shared" si="12"/>
        <v/>
      </c>
      <c r="I155" s="10"/>
      <c r="J155" s="6" t="s">
        <v>242</v>
      </c>
      <c r="K155" s="6" t="s">
        <v>243</v>
      </c>
      <c r="L155" s="6" t="s">
        <v>343</v>
      </c>
    </row>
    <row r="156" spans="1:12" ht="26" customHeight="1" x14ac:dyDescent="0.2">
      <c r="A156" s="6" t="s">
        <v>250</v>
      </c>
      <c r="B156" s="6" t="s">
        <v>251</v>
      </c>
      <c r="C156" s="5" t="s">
        <v>18</v>
      </c>
      <c r="D156" s="7">
        <v>14710</v>
      </c>
      <c r="E156" s="8">
        <v>0</v>
      </c>
      <c r="F156" s="7">
        <f t="shared" si="11"/>
        <v>14710</v>
      </c>
      <c r="G156" s="9"/>
      <c r="H156" s="7" t="str">
        <f t="shared" si="12"/>
        <v/>
      </c>
      <c r="I156" s="10" t="s">
        <v>429</v>
      </c>
      <c r="J156" s="6" t="s">
        <v>242</v>
      </c>
      <c r="K156" s="6" t="s">
        <v>243</v>
      </c>
      <c r="L156" s="6" t="s">
        <v>343</v>
      </c>
    </row>
    <row r="157" spans="1:12" ht="26" customHeight="1" x14ac:dyDescent="0.2">
      <c r="A157" s="6" t="s">
        <v>252</v>
      </c>
      <c r="B157" s="6" t="s">
        <v>253</v>
      </c>
      <c r="C157" s="5" t="s">
        <v>33</v>
      </c>
      <c r="D157" s="7">
        <v>12120</v>
      </c>
      <c r="E157" s="8">
        <v>0</v>
      </c>
      <c r="F157" s="7">
        <f t="shared" si="11"/>
        <v>12120</v>
      </c>
      <c r="G157" s="9"/>
      <c r="H157" s="7" t="str">
        <f t="shared" si="12"/>
        <v/>
      </c>
      <c r="I157" s="10" t="s">
        <v>430</v>
      </c>
      <c r="J157" s="6" t="s">
        <v>242</v>
      </c>
      <c r="K157" s="6" t="s">
        <v>243</v>
      </c>
      <c r="L157" s="6" t="s">
        <v>343</v>
      </c>
    </row>
    <row r="158" spans="1:12" ht="26" customHeight="1" x14ac:dyDescent="0.2">
      <c r="A158" s="6" t="s">
        <v>254</v>
      </c>
      <c r="B158" s="6" t="s">
        <v>255</v>
      </c>
      <c r="C158" s="5" t="s">
        <v>33</v>
      </c>
      <c r="D158" s="7">
        <v>11480</v>
      </c>
      <c r="E158" s="8">
        <v>0</v>
      </c>
      <c r="F158" s="7">
        <f t="shared" si="11"/>
        <v>11480</v>
      </c>
      <c r="G158" s="9"/>
      <c r="H158" s="7" t="str">
        <f t="shared" si="12"/>
        <v/>
      </c>
      <c r="I158" s="10">
        <v>46474</v>
      </c>
      <c r="J158" s="6" t="s">
        <v>242</v>
      </c>
      <c r="K158" s="6" t="s">
        <v>243</v>
      </c>
      <c r="L158" s="6" t="s">
        <v>343</v>
      </c>
    </row>
    <row r="159" spans="1:12" ht="26" customHeight="1" x14ac:dyDescent="0.2">
      <c r="A159" s="6" t="s">
        <v>256</v>
      </c>
      <c r="B159" s="6" t="s">
        <v>257</v>
      </c>
      <c r="C159" s="5" t="s">
        <v>14</v>
      </c>
      <c r="D159" s="7">
        <v>12450</v>
      </c>
      <c r="E159" s="8">
        <v>0</v>
      </c>
      <c r="F159" s="7">
        <f t="shared" si="11"/>
        <v>12450</v>
      </c>
      <c r="G159" s="9"/>
      <c r="H159" s="7" t="str">
        <f t="shared" si="12"/>
        <v/>
      </c>
      <c r="I159" s="10">
        <v>46719</v>
      </c>
      <c r="J159" s="6" t="s">
        <v>242</v>
      </c>
      <c r="K159" s="6" t="s">
        <v>243</v>
      </c>
      <c r="L159" s="6" t="s">
        <v>343</v>
      </c>
    </row>
    <row r="160" spans="1:12" ht="26" customHeight="1" x14ac:dyDescent="0.2">
      <c r="A160" s="6" t="s">
        <v>258</v>
      </c>
      <c r="B160" s="6" t="s">
        <v>259</v>
      </c>
      <c r="C160" s="5" t="s">
        <v>14</v>
      </c>
      <c r="D160" s="7">
        <v>15250</v>
      </c>
      <c r="E160" s="8">
        <v>0</v>
      </c>
      <c r="F160" s="7">
        <f t="shared" si="11"/>
        <v>15250</v>
      </c>
      <c r="G160" s="16"/>
      <c r="H160" s="7" t="str">
        <f t="shared" si="12"/>
        <v/>
      </c>
      <c r="I160" s="10">
        <v>46566</v>
      </c>
      <c r="J160" s="6" t="s">
        <v>242</v>
      </c>
      <c r="K160" s="6" t="s">
        <v>243</v>
      </c>
      <c r="L160" s="6" t="s">
        <v>343</v>
      </c>
    </row>
    <row r="161" spans="1:12" ht="26" customHeight="1" x14ac:dyDescent="0.2">
      <c r="A161" s="6" t="s">
        <v>260</v>
      </c>
      <c r="B161" s="6" t="s">
        <v>261</v>
      </c>
      <c r="C161" s="5" t="s">
        <v>14</v>
      </c>
      <c r="D161" s="7">
        <v>13300</v>
      </c>
      <c r="E161" s="8">
        <v>0</v>
      </c>
      <c r="F161" s="7">
        <f t="shared" si="11"/>
        <v>13300</v>
      </c>
      <c r="G161" s="16"/>
      <c r="H161" s="7" t="str">
        <f t="shared" si="12"/>
        <v/>
      </c>
      <c r="I161" s="10">
        <v>46201</v>
      </c>
      <c r="J161" s="6" t="s">
        <v>242</v>
      </c>
      <c r="K161" s="6" t="s">
        <v>243</v>
      </c>
      <c r="L161" s="6" t="s">
        <v>343</v>
      </c>
    </row>
    <row r="162" spans="1:12" ht="26" customHeight="1" x14ac:dyDescent="0.2">
      <c r="A162" s="6" t="s">
        <v>262</v>
      </c>
      <c r="B162" s="6" t="s">
        <v>263</v>
      </c>
      <c r="C162" s="5" t="s">
        <v>14</v>
      </c>
      <c r="D162" s="7">
        <v>12740</v>
      </c>
      <c r="E162" s="8">
        <v>0</v>
      </c>
      <c r="F162" s="7">
        <f t="shared" si="11"/>
        <v>12740</v>
      </c>
      <c r="G162" s="16"/>
      <c r="H162" s="7" t="str">
        <f t="shared" si="12"/>
        <v/>
      </c>
      <c r="I162" s="10">
        <v>46688</v>
      </c>
      <c r="J162" s="6" t="s">
        <v>242</v>
      </c>
      <c r="K162" s="6" t="s">
        <v>243</v>
      </c>
      <c r="L162" s="6" t="s">
        <v>343</v>
      </c>
    </row>
    <row r="163" spans="1:12" ht="26" customHeight="1" x14ac:dyDescent="0.2">
      <c r="A163" s="6" t="s">
        <v>264</v>
      </c>
      <c r="B163" s="6" t="s">
        <v>265</v>
      </c>
      <c r="C163" s="5" t="s">
        <v>33</v>
      </c>
      <c r="D163" s="7">
        <v>12180</v>
      </c>
      <c r="E163" s="8">
        <v>0</v>
      </c>
      <c r="F163" s="7">
        <f t="shared" si="11"/>
        <v>12180</v>
      </c>
      <c r="G163" s="16"/>
      <c r="H163" s="7" t="str">
        <f t="shared" si="12"/>
        <v/>
      </c>
      <c r="I163" s="10"/>
      <c r="J163" s="6" t="s">
        <v>242</v>
      </c>
      <c r="K163" s="6" t="s">
        <v>243</v>
      </c>
      <c r="L163" s="6" t="s">
        <v>343</v>
      </c>
    </row>
    <row r="164" spans="1:12" ht="26" customHeight="1" x14ac:dyDescent="0.2">
      <c r="A164" s="6" t="s">
        <v>266</v>
      </c>
      <c r="B164" s="6" t="s">
        <v>267</v>
      </c>
      <c r="C164" s="5" t="s">
        <v>18</v>
      </c>
      <c r="D164" s="7">
        <v>20700</v>
      </c>
      <c r="E164" s="8">
        <v>0</v>
      </c>
      <c r="F164" s="7">
        <f t="shared" si="11"/>
        <v>20700</v>
      </c>
      <c r="G164" s="16"/>
      <c r="H164" s="7" t="str">
        <f t="shared" si="12"/>
        <v/>
      </c>
      <c r="I164" s="10"/>
      <c r="J164" s="6" t="s">
        <v>242</v>
      </c>
      <c r="K164" s="6" t="s">
        <v>243</v>
      </c>
      <c r="L164" s="6" t="s">
        <v>343</v>
      </c>
    </row>
    <row r="165" spans="1:12" ht="26" customHeight="1" x14ac:dyDescent="0.2">
      <c r="A165" s="6" t="s">
        <v>268</v>
      </c>
      <c r="B165" s="6" t="s">
        <v>269</v>
      </c>
      <c r="C165" s="5" t="s">
        <v>33</v>
      </c>
      <c r="D165" s="7">
        <v>14850</v>
      </c>
      <c r="E165" s="8">
        <v>0</v>
      </c>
      <c r="F165" s="7">
        <f t="shared" si="11"/>
        <v>14850</v>
      </c>
      <c r="G165" s="16"/>
      <c r="H165" s="7" t="str">
        <f t="shared" si="12"/>
        <v/>
      </c>
      <c r="I165" s="10">
        <v>46262</v>
      </c>
      <c r="J165" s="6" t="s">
        <v>242</v>
      </c>
      <c r="K165" s="6" t="s">
        <v>243</v>
      </c>
      <c r="L165" s="6" t="s">
        <v>343</v>
      </c>
    </row>
    <row r="166" spans="1:12" ht="26" customHeight="1" x14ac:dyDescent="0.2">
      <c r="A166" s="6" t="s">
        <v>270</v>
      </c>
      <c r="B166" s="6" t="s">
        <v>271</v>
      </c>
      <c r="C166" s="5" t="s">
        <v>33</v>
      </c>
      <c r="D166" s="7">
        <v>11810</v>
      </c>
      <c r="E166" s="8">
        <v>0</v>
      </c>
      <c r="F166" s="7">
        <f t="shared" si="11"/>
        <v>11810</v>
      </c>
      <c r="G166" s="16"/>
      <c r="H166" s="7" t="str">
        <f t="shared" si="12"/>
        <v/>
      </c>
      <c r="I166" s="10">
        <v>46231</v>
      </c>
      <c r="J166" s="6" t="s">
        <v>242</v>
      </c>
      <c r="K166" s="6" t="s">
        <v>243</v>
      </c>
      <c r="L166" s="6" t="s">
        <v>343</v>
      </c>
    </row>
    <row r="167" spans="1:12" ht="26" customHeight="1" x14ac:dyDescent="0.2">
      <c r="A167" s="6" t="s">
        <v>391</v>
      </c>
      <c r="B167" s="6" t="s">
        <v>392</v>
      </c>
      <c r="C167" s="5" t="s">
        <v>33</v>
      </c>
      <c r="D167" s="7">
        <v>20920</v>
      </c>
      <c r="E167" s="8">
        <v>0</v>
      </c>
      <c r="F167" s="7">
        <f t="shared" si="11"/>
        <v>20920</v>
      </c>
      <c r="G167" s="16"/>
      <c r="H167" s="7" t="str">
        <f t="shared" si="12"/>
        <v/>
      </c>
      <c r="I167" s="23">
        <v>46415</v>
      </c>
      <c r="J167" s="6" t="s">
        <v>242</v>
      </c>
      <c r="K167" s="21" t="s">
        <v>243</v>
      </c>
      <c r="L167" s="6" t="s">
        <v>343</v>
      </c>
    </row>
    <row r="168" spans="1:12" ht="26" customHeight="1" x14ac:dyDescent="0.2">
      <c r="A168" s="6" t="s">
        <v>389</v>
      </c>
      <c r="B168" s="6" t="s">
        <v>390</v>
      </c>
      <c r="C168" s="5" t="s">
        <v>33</v>
      </c>
      <c r="D168" s="7">
        <v>18520</v>
      </c>
      <c r="E168" s="8">
        <v>0</v>
      </c>
      <c r="F168" s="7">
        <f t="shared" ref="F168:F183" si="13">D168*(1+E168)</f>
        <v>18520</v>
      </c>
      <c r="G168" s="16"/>
      <c r="H168" s="7" t="str">
        <f t="shared" ref="H168:H183" si="14">IF(G168="","",G168*F168)</f>
        <v/>
      </c>
      <c r="I168" s="10">
        <v>46415</v>
      </c>
      <c r="J168" s="6" t="s">
        <v>242</v>
      </c>
      <c r="K168" s="21" t="s">
        <v>243</v>
      </c>
      <c r="L168" s="6" t="s">
        <v>343</v>
      </c>
    </row>
    <row r="169" spans="1:12" ht="26" customHeight="1" x14ac:dyDescent="0.2">
      <c r="A169" s="6" t="s">
        <v>387</v>
      </c>
      <c r="B169" s="6" t="s">
        <v>388</v>
      </c>
      <c r="C169" s="5" t="s">
        <v>33</v>
      </c>
      <c r="D169" s="7">
        <v>13950</v>
      </c>
      <c r="E169" s="8">
        <v>0</v>
      </c>
      <c r="F169" s="7">
        <f t="shared" si="13"/>
        <v>13950</v>
      </c>
      <c r="G169" s="16"/>
      <c r="H169" s="7" t="str">
        <f t="shared" si="14"/>
        <v/>
      </c>
      <c r="I169" s="10">
        <v>46753</v>
      </c>
      <c r="J169" s="6" t="s">
        <v>242</v>
      </c>
      <c r="K169" s="21" t="s">
        <v>243</v>
      </c>
      <c r="L169" s="6" t="s">
        <v>343</v>
      </c>
    </row>
    <row r="170" spans="1:12" ht="26" customHeight="1" x14ac:dyDescent="0.2">
      <c r="A170" s="6" t="s">
        <v>272</v>
      </c>
      <c r="B170" s="6" t="s">
        <v>273</v>
      </c>
      <c r="C170" s="5" t="s">
        <v>33</v>
      </c>
      <c r="D170" s="7">
        <v>5880</v>
      </c>
      <c r="E170" s="8">
        <v>0</v>
      </c>
      <c r="F170" s="7">
        <f t="shared" si="13"/>
        <v>5880</v>
      </c>
      <c r="G170" s="9"/>
      <c r="H170" s="7" t="str">
        <f t="shared" si="14"/>
        <v/>
      </c>
      <c r="I170" s="10"/>
      <c r="J170" s="6" t="s">
        <v>242</v>
      </c>
      <c r="K170" s="6" t="s">
        <v>243</v>
      </c>
      <c r="L170" s="6" t="s">
        <v>343</v>
      </c>
    </row>
    <row r="171" spans="1:12" ht="26" customHeight="1" x14ac:dyDescent="0.2">
      <c r="A171" s="6" t="s">
        <v>397</v>
      </c>
      <c r="B171" s="6" t="s">
        <v>398</v>
      </c>
      <c r="C171" s="5" t="s">
        <v>14</v>
      </c>
      <c r="D171" s="7">
        <v>11990</v>
      </c>
      <c r="E171" s="8">
        <v>0</v>
      </c>
      <c r="F171" s="7">
        <f t="shared" si="13"/>
        <v>11990</v>
      </c>
      <c r="G171" s="16"/>
      <c r="H171" s="7" t="str">
        <f t="shared" si="14"/>
        <v/>
      </c>
      <c r="I171" s="10">
        <v>46262</v>
      </c>
      <c r="J171" s="6" t="s">
        <v>242</v>
      </c>
      <c r="K171" s="21" t="s">
        <v>243</v>
      </c>
      <c r="L171" s="6" t="s">
        <v>343</v>
      </c>
    </row>
    <row r="172" spans="1:12" ht="26" customHeight="1" x14ac:dyDescent="0.2">
      <c r="A172" s="21" t="s">
        <v>351</v>
      </c>
      <c r="B172" s="21" t="s">
        <v>352</v>
      </c>
      <c r="C172" s="5" t="s">
        <v>33</v>
      </c>
      <c r="D172" s="7">
        <v>19460</v>
      </c>
      <c r="E172" s="8">
        <v>0</v>
      </c>
      <c r="F172" s="7">
        <f t="shared" si="13"/>
        <v>19460</v>
      </c>
      <c r="G172" s="16"/>
      <c r="H172" s="7" t="str">
        <f t="shared" si="14"/>
        <v/>
      </c>
      <c r="I172" s="10">
        <v>46081</v>
      </c>
      <c r="J172" s="6" t="s">
        <v>242</v>
      </c>
      <c r="K172" s="6" t="s">
        <v>243</v>
      </c>
      <c r="L172" s="6" t="s">
        <v>343</v>
      </c>
    </row>
    <row r="173" spans="1:12" ht="26" customHeight="1" x14ac:dyDescent="0.2">
      <c r="A173" s="6" t="s">
        <v>274</v>
      </c>
      <c r="B173" s="6" t="s">
        <v>275</v>
      </c>
      <c r="C173" s="5" t="s">
        <v>33</v>
      </c>
      <c r="D173" s="7">
        <v>31430</v>
      </c>
      <c r="E173" s="8">
        <v>0</v>
      </c>
      <c r="F173" s="7">
        <f t="shared" si="13"/>
        <v>31430</v>
      </c>
      <c r="G173" s="16"/>
      <c r="H173" s="7" t="str">
        <f t="shared" si="14"/>
        <v/>
      </c>
      <c r="I173" s="10"/>
      <c r="J173" s="6" t="s">
        <v>242</v>
      </c>
      <c r="K173" s="6" t="s">
        <v>243</v>
      </c>
      <c r="L173" s="6" t="s">
        <v>343</v>
      </c>
    </row>
    <row r="174" spans="1:12" ht="26" customHeight="1" x14ac:dyDescent="0.2">
      <c r="A174" s="6" t="s">
        <v>276</v>
      </c>
      <c r="B174" s="6" t="s">
        <v>277</v>
      </c>
      <c r="C174" s="5" t="s">
        <v>14</v>
      </c>
      <c r="D174" s="7">
        <v>22190</v>
      </c>
      <c r="E174" s="8">
        <v>0</v>
      </c>
      <c r="F174" s="7">
        <f t="shared" si="13"/>
        <v>22190</v>
      </c>
      <c r="G174" s="16"/>
      <c r="H174" s="7" t="str">
        <f t="shared" si="14"/>
        <v/>
      </c>
      <c r="I174" s="10"/>
      <c r="J174" s="6" t="s">
        <v>242</v>
      </c>
      <c r="K174" s="6" t="s">
        <v>243</v>
      </c>
      <c r="L174" s="6" t="s">
        <v>343</v>
      </c>
    </row>
    <row r="175" spans="1:12" ht="26" customHeight="1" x14ac:dyDescent="0.2">
      <c r="A175" s="6" t="s">
        <v>385</v>
      </c>
      <c r="B175" s="6" t="s">
        <v>386</v>
      </c>
      <c r="C175" s="5" t="s">
        <v>18</v>
      </c>
      <c r="D175" s="7">
        <v>20140</v>
      </c>
      <c r="E175" s="8">
        <v>0.14000000000000001</v>
      </c>
      <c r="F175" s="7">
        <f t="shared" si="13"/>
        <v>22959.600000000002</v>
      </c>
      <c r="G175" s="9"/>
      <c r="H175" s="7" t="str">
        <f t="shared" si="14"/>
        <v/>
      </c>
      <c r="I175" s="10" t="s">
        <v>418</v>
      </c>
      <c r="J175" s="6" t="s">
        <v>242</v>
      </c>
      <c r="K175" s="6" t="s">
        <v>340</v>
      </c>
      <c r="L175" s="6" t="s">
        <v>343</v>
      </c>
    </row>
    <row r="176" spans="1:12" ht="26" customHeight="1" x14ac:dyDescent="0.2">
      <c r="A176" s="6" t="s">
        <v>278</v>
      </c>
      <c r="B176" s="6" t="s">
        <v>279</v>
      </c>
      <c r="C176" s="5" t="s">
        <v>14</v>
      </c>
      <c r="D176" s="7">
        <v>10460</v>
      </c>
      <c r="E176" s="8">
        <v>0.14000000000000001</v>
      </c>
      <c r="F176" s="7">
        <f t="shared" si="13"/>
        <v>11924.400000000001</v>
      </c>
      <c r="G176" s="9"/>
      <c r="H176" s="7" t="str">
        <f t="shared" si="14"/>
        <v/>
      </c>
      <c r="I176" s="10">
        <v>46415</v>
      </c>
      <c r="J176" s="6" t="s">
        <v>242</v>
      </c>
      <c r="K176" s="6" t="s">
        <v>340</v>
      </c>
      <c r="L176" s="6" t="s">
        <v>343</v>
      </c>
    </row>
    <row r="177" spans="1:12" ht="26" customHeight="1" x14ac:dyDescent="0.2">
      <c r="A177" s="6" t="s">
        <v>280</v>
      </c>
      <c r="B177" s="6" t="s">
        <v>281</v>
      </c>
      <c r="C177" s="5" t="s">
        <v>18</v>
      </c>
      <c r="D177" s="7">
        <v>14200</v>
      </c>
      <c r="E177" s="8">
        <v>0.14000000000000001</v>
      </c>
      <c r="F177" s="7">
        <f t="shared" si="13"/>
        <v>16188.000000000002</v>
      </c>
      <c r="G177" s="9"/>
      <c r="H177" s="7" t="str">
        <f t="shared" si="14"/>
        <v/>
      </c>
      <c r="I177" s="10" t="s">
        <v>418</v>
      </c>
      <c r="J177" s="6" t="s">
        <v>242</v>
      </c>
      <c r="K177" s="6" t="s">
        <v>340</v>
      </c>
      <c r="L177" s="6" t="s">
        <v>343</v>
      </c>
    </row>
    <row r="178" spans="1:12" ht="26" customHeight="1" x14ac:dyDescent="0.2">
      <c r="A178" s="6" t="s">
        <v>282</v>
      </c>
      <c r="B178" s="6" t="s">
        <v>283</v>
      </c>
      <c r="C178" s="5" t="s">
        <v>18</v>
      </c>
      <c r="D178" s="7">
        <v>9930</v>
      </c>
      <c r="E178" s="8">
        <v>0</v>
      </c>
      <c r="F178" s="7">
        <f t="shared" si="13"/>
        <v>9930</v>
      </c>
      <c r="G178" s="9"/>
      <c r="H178" s="7" t="str">
        <f t="shared" si="14"/>
        <v/>
      </c>
      <c r="I178" s="10" t="s">
        <v>418</v>
      </c>
      <c r="J178" s="6" t="s">
        <v>242</v>
      </c>
      <c r="K178" s="6" t="s">
        <v>340</v>
      </c>
      <c r="L178" s="6" t="s">
        <v>343</v>
      </c>
    </row>
    <row r="179" spans="1:12" ht="26" customHeight="1" x14ac:dyDescent="0.2">
      <c r="A179" s="6" t="s">
        <v>383</v>
      </c>
      <c r="B179" s="6" t="s">
        <v>384</v>
      </c>
      <c r="C179" s="5" t="s">
        <v>18</v>
      </c>
      <c r="D179" s="7">
        <v>21590</v>
      </c>
      <c r="E179" s="8">
        <v>0.14000000000000001</v>
      </c>
      <c r="F179" s="7">
        <f t="shared" si="13"/>
        <v>24612.600000000002</v>
      </c>
      <c r="G179" s="9"/>
      <c r="H179" s="7" t="str">
        <f t="shared" si="14"/>
        <v/>
      </c>
      <c r="I179" s="10" t="s">
        <v>418</v>
      </c>
      <c r="J179" s="6" t="s">
        <v>242</v>
      </c>
      <c r="K179" s="6" t="s">
        <v>340</v>
      </c>
      <c r="L179" s="6" t="s">
        <v>343</v>
      </c>
    </row>
    <row r="180" spans="1:12" ht="26" customHeight="1" x14ac:dyDescent="0.2">
      <c r="A180" s="6" t="s">
        <v>284</v>
      </c>
      <c r="B180" s="6" t="s">
        <v>285</v>
      </c>
      <c r="C180" s="5" t="s">
        <v>14</v>
      </c>
      <c r="D180" s="7">
        <v>6300</v>
      </c>
      <c r="E180" s="8">
        <v>0</v>
      </c>
      <c r="F180" s="7">
        <f t="shared" si="13"/>
        <v>6300</v>
      </c>
      <c r="G180" s="9"/>
      <c r="H180" s="7" t="str">
        <f t="shared" si="14"/>
        <v/>
      </c>
      <c r="I180" s="10"/>
      <c r="J180" s="6" t="s">
        <v>242</v>
      </c>
      <c r="K180" s="6" t="s">
        <v>340</v>
      </c>
      <c r="L180" s="6" t="s">
        <v>343</v>
      </c>
    </row>
    <row r="181" spans="1:12" ht="26" customHeight="1" x14ac:dyDescent="0.2">
      <c r="A181" s="21" t="s">
        <v>419</v>
      </c>
      <c r="B181" s="6" t="s">
        <v>420</v>
      </c>
      <c r="C181" s="5" t="s">
        <v>33</v>
      </c>
      <c r="D181" s="7">
        <v>10520</v>
      </c>
      <c r="E181" s="8">
        <v>0</v>
      </c>
      <c r="F181" s="7">
        <f t="shared" si="13"/>
        <v>10520</v>
      </c>
      <c r="G181" s="9"/>
      <c r="H181" s="7" t="str">
        <f t="shared" si="14"/>
        <v/>
      </c>
      <c r="I181" s="10">
        <v>46660</v>
      </c>
      <c r="J181" s="6" t="s">
        <v>242</v>
      </c>
      <c r="K181" s="6" t="s">
        <v>340</v>
      </c>
      <c r="L181" s="6" t="s">
        <v>343</v>
      </c>
    </row>
    <row r="182" spans="1:12" ht="26" customHeight="1" x14ac:dyDescent="0.2">
      <c r="A182" s="6" t="s">
        <v>318</v>
      </c>
      <c r="B182" s="6" t="s">
        <v>286</v>
      </c>
      <c r="C182" s="5" t="s">
        <v>14</v>
      </c>
      <c r="D182" s="7">
        <v>241310</v>
      </c>
      <c r="E182" s="8">
        <v>0</v>
      </c>
      <c r="F182" s="7">
        <f t="shared" si="13"/>
        <v>241310</v>
      </c>
      <c r="G182" s="16"/>
      <c r="H182" s="7" t="str">
        <f t="shared" si="14"/>
        <v/>
      </c>
      <c r="I182" s="10">
        <v>46140</v>
      </c>
      <c r="J182" s="6" t="s">
        <v>15</v>
      </c>
      <c r="K182" s="6" t="s">
        <v>332</v>
      </c>
      <c r="L182" s="6" t="s">
        <v>61</v>
      </c>
    </row>
    <row r="183" spans="1:12" ht="26" customHeight="1" x14ac:dyDescent="0.2">
      <c r="A183" s="6" t="s">
        <v>319</v>
      </c>
      <c r="B183" s="6" t="s">
        <v>287</v>
      </c>
      <c r="C183" s="5" t="s">
        <v>18</v>
      </c>
      <c r="D183" s="7">
        <v>86565</v>
      </c>
      <c r="E183" s="8">
        <v>0</v>
      </c>
      <c r="F183" s="7">
        <f t="shared" si="13"/>
        <v>86565</v>
      </c>
      <c r="G183" s="16"/>
      <c r="H183" s="7" t="str">
        <f t="shared" si="14"/>
        <v/>
      </c>
      <c r="I183" s="10" t="s">
        <v>418</v>
      </c>
      <c r="J183" s="6" t="s">
        <v>15</v>
      </c>
      <c r="K183" s="6" t="s">
        <v>332</v>
      </c>
      <c r="L183" s="6" t="s">
        <v>61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2"/>
    <mergeCell ref="G3:G4"/>
    <mergeCell ref="H3:H4"/>
  </mergeCells>
  <conditionalFormatting sqref="C5">
    <cfRule type="containsText" dxfId="7" priority="52" stopIfTrue="1" operator="containsText" text="EM TRÂNSITO">
      <formula>NOT(ISERROR(SEARCH("EM TRÂNSITO",C5)))</formula>
    </cfRule>
    <cfRule type="containsText" dxfId="6" priority="53" stopIfTrue="1" operator="containsText" text="MENOS DE 10 UNIDADES">
      <formula>NOT(ISERROR(SEARCH("MENOS DE 10 UNIDADES",C5)))</formula>
    </cfRule>
    <cfRule type="containsText" dxfId="5" priority="54" stopIfTrue="1" operator="containsText" text="ESGOTADO">
      <formula>NOT(ISERROR(SEARCH("ESGOTADO",C5)))</formula>
    </cfRule>
  </conditionalFormatting>
  <conditionalFormatting sqref="C6:C2004">
    <cfRule type="containsText" dxfId="4" priority="40" stopIfTrue="1" operator="containsText" text="ULTIMAS UNIDADES">
      <formula>NOT(ISERROR(SEARCH("ULTIMAS UNIDADES",C6)))</formula>
    </cfRule>
    <cfRule type="containsText" dxfId="3" priority="41" stopIfTrue="1" operator="containsText" text="ESGOTADO">
      <formula>NOT(ISERROR(SEARCH("ESGOTADO",C6)))</formula>
    </cfRule>
  </conditionalFormatting>
  <conditionalFormatting sqref="I6:I166 I168:I183">
    <cfRule type="containsBlanks" dxfId="2" priority="227" stopIfTrue="1">
      <formula>LEN(TRIM(I6))=0</formula>
    </cfRule>
    <cfRule type="expression" dxfId="1" priority="228" stopIfTrue="1">
      <formula>_xlfn.DAYS(I6,NOW())&lt;30</formula>
    </cfRule>
    <cfRule type="expression" dxfId="0" priority="229" stopIfTrue="1">
      <formula>_xlfn.DAYS(I6,NOW())&lt;90</formula>
    </cfRule>
  </conditionalFormatting>
  <dataValidations count="2">
    <dataValidation type="date" operator="greaterThan" allowBlank="1" showInputMessage="1" showErrorMessage="1" sqref="I28:I43 I131 I133:I134 I143 I6 I149:I166 I56:I129 I138:I141 I21:I26 I45:I54 I8:I16 I170:I183 I18:I19" xr:uid="{00000000-0002-0000-0000-000000000000}">
      <formula1>45107</formula1>
    </dataValidation>
    <dataValidation type="whole" operator="greaterThan" allowBlank="1" showInputMessage="1" showErrorMessage="1" sqref="G6:G183" xr:uid="{00000000-0002-0000-0000-000001000000}">
      <formula1>0</formula1>
    </dataValidation>
  </dataValidations>
  <pageMargins left="0.70069444444444395" right="0.70069444444444395" top="0.75208333333333299" bottom="0.75208333333333299" header="0.51181102362204689" footer="0.51181102362204689"/>
  <pageSetup paperSize="9" firstPageNumber="2147483647" orientation="portrait" horizontalDpi="300" verticalDpi="30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06B1D4-6804-ED4C-867D-2A616869E138}">
          <x14:formula1>
            <xm:f>Marcas!$A$1:$A$100</xm:f>
          </x14:formula1>
          <xm:sqref>L6:L183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0649-5787-0F47-86A3-6A47A963A634}">
  <dimension ref="A1:A17"/>
  <sheetViews>
    <sheetView workbookViewId="0">
      <selection activeCell="N12" sqref="N12"/>
    </sheetView>
  </sheetViews>
  <sheetFormatPr baseColWidth="10" defaultColWidth="11" defaultRowHeight="15" x14ac:dyDescent="0.2"/>
  <cols>
    <col min="1" max="1" width="17.5" bestFit="1" customWidth="1"/>
  </cols>
  <sheetData>
    <row r="1" spans="1:1" x14ac:dyDescent="0.2">
      <c r="A1" s="18" t="s">
        <v>345</v>
      </c>
    </row>
    <row r="2" spans="1:1" x14ac:dyDescent="0.2">
      <c r="A2" s="19" t="s">
        <v>87</v>
      </c>
    </row>
    <row r="3" spans="1:1" x14ac:dyDescent="0.2">
      <c r="A3" s="19" t="s">
        <v>61</v>
      </c>
    </row>
    <row r="4" spans="1:1" x14ac:dyDescent="0.2">
      <c r="A4" s="18" t="s">
        <v>348</v>
      </c>
    </row>
    <row r="5" spans="1:1" x14ac:dyDescent="0.2">
      <c r="A5" s="19" t="s">
        <v>111</v>
      </c>
    </row>
    <row r="6" spans="1:1" x14ac:dyDescent="0.2">
      <c r="A6" s="18" t="s">
        <v>344</v>
      </c>
    </row>
    <row r="7" spans="1:1" x14ac:dyDescent="0.2">
      <c r="A7" s="19" t="s">
        <v>79</v>
      </c>
    </row>
    <row r="8" spans="1:1" x14ac:dyDescent="0.2">
      <c r="A8" s="18" t="s">
        <v>347</v>
      </c>
    </row>
    <row r="9" spans="1:1" x14ac:dyDescent="0.2">
      <c r="A9" t="s">
        <v>346</v>
      </c>
    </row>
    <row r="10" spans="1:1" x14ac:dyDescent="0.2">
      <c r="A10" s="19" t="s">
        <v>62</v>
      </c>
    </row>
    <row r="11" spans="1:1" x14ac:dyDescent="0.2">
      <c r="A11" s="18" t="s">
        <v>341</v>
      </c>
    </row>
    <row r="12" spans="1:1" x14ac:dyDescent="0.2">
      <c r="A12" s="18" t="s">
        <v>96</v>
      </c>
    </row>
    <row r="13" spans="1:1" x14ac:dyDescent="0.2">
      <c r="A13" s="18" t="s">
        <v>118</v>
      </c>
    </row>
    <row r="14" spans="1:1" x14ac:dyDescent="0.2">
      <c r="A14" s="19" t="s">
        <v>26</v>
      </c>
    </row>
    <row r="15" spans="1:1" x14ac:dyDescent="0.2">
      <c r="A15" s="19" t="s">
        <v>17</v>
      </c>
    </row>
    <row r="16" spans="1:1" x14ac:dyDescent="0.2">
      <c r="A16" s="18" t="s">
        <v>343</v>
      </c>
    </row>
    <row r="17" spans="1:1" x14ac:dyDescent="0.2">
      <c r="A17" s="18" t="s">
        <v>16</v>
      </c>
    </row>
  </sheetData>
  <sortState xmlns:xlrd2="http://schemas.microsoft.com/office/spreadsheetml/2017/richdata2" ref="A2:A17">
    <sortCondition ref="A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5"/>
  <sheetViews>
    <sheetView workbookViewId="0">
      <selection activeCell="A22" sqref="A22"/>
    </sheetView>
  </sheetViews>
  <sheetFormatPr baseColWidth="10" defaultColWidth="8.5" defaultRowHeight="15" x14ac:dyDescent="0.2"/>
  <cols>
    <col min="1" max="1" width="23.6640625" customWidth="1"/>
  </cols>
  <sheetData>
    <row r="1" spans="1:1" x14ac:dyDescent="0.2">
      <c r="A1" s="3" t="s">
        <v>288</v>
      </c>
    </row>
    <row r="2" spans="1:1" x14ac:dyDescent="0.2">
      <c r="A2" t="s">
        <v>33</v>
      </c>
    </row>
    <row r="3" spans="1:1" x14ac:dyDescent="0.2">
      <c r="A3" t="s">
        <v>289</v>
      </c>
    </row>
    <row r="4" spans="1:1" x14ac:dyDescent="0.2">
      <c r="A4" t="s">
        <v>290</v>
      </c>
    </row>
    <row r="5" spans="1:1" x14ac:dyDescent="0.2">
      <c r="A5" t="s">
        <v>18</v>
      </c>
    </row>
  </sheetData>
  <pageMargins left="0.70069444444444395" right="0.70069444444444395" top="0.75208333333333299" bottom="0.75208333333333299" header="0.51181102362204689" footer="0.51181102362204689"/>
  <pageSetup paperSize="9" firstPageNumber="2147483647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Marcas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FUSION SERVICES LDA</dc:creator>
  <dc:description/>
  <cp:lastModifiedBy>Dzerjinski Lemos</cp:lastModifiedBy>
  <cp:revision>20</cp:revision>
  <dcterms:created xsi:type="dcterms:W3CDTF">2021-09-27T13:33:03Z</dcterms:created>
  <dcterms:modified xsi:type="dcterms:W3CDTF">2026-04-27T15:04:50Z</dcterms:modified>
  <dc:language>pt-PT</dc:language>
</cp:coreProperties>
</file>